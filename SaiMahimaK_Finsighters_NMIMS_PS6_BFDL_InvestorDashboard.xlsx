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MBA\03 Case comps\10 ATOM\Round 05 Submission\"/>
    </mc:Choice>
  </mc:AlternateContent>
  <xr:revisionPtr revIDLastSave="0" documentId="13_ncr:1_{71DC0D1C-527E-43FC-8984-50AB1FA55BC2}" xr6:coauthVersionLast="47" xr6:coauthVersionMax="47" xr10:uidLastSave="{00000000-0000-0000-0000-000000000000}"/>
  <bookViews>
    <workbookView xWindow="-108" yWindow="-108" windowWidth="23256" windowHeight="12456" tabRatio="500" xr2:uid="{00000000-000D-0000-FFFF-FFFF00000000}"/>
  </bookViews>
  <sheets>
    <sheet name="0. Investment Committee" sheetId="1" r:id="rId1"/>
    <sheet name="Navigation" sheetId="3" r:id="rId2"/>
    <sheet name="Dashboard" sheetId="2" r:id="rId3"/>
    <sheet name="1. Assumptions and Sources" sheetId="4" r:id="rId4"/>
    <sheet name="2. Summary" sheetId="5" r:id="rId5"/>
    <sheet name="3. Workings" sheetId="6" r:id="rId6"/>
    <sheet name="4. Forecast" sheetId="7" r:id="rId7"/>
    <sheet name="5. Investor Metrics" sheetId="8" r:id="rId8"/>
    <sheet name="6. Stakeholder Analysis" sheetId="9" r:id="rId9"/>
    <sheet name="7. Trend Analysis" sheetId="10" r:id="rId10"/>
    <sheet name="8. Scenario Simulation" sheetId="11" r:id="rId11"/>
    <sheet name="9. Landscape Impact" sheetId="12" r:id="rId12"/>
    <sheet name="10. Resilience and Breakpoints" sheetId="13" r:id="rId13"/>
    <sheet name="11. Strategy and Early Warning" sheetId="14" r:id="rId14"/>
    <sheet name="12. Cost Architecture" sheetId="15" r:id="rId15"/>
    <sheet name="13. GenAI Build vs Buy" sheetId="16" r:id="rId16"/>
  </sheets>
  <definedNames>
    <definedName name="_xlchart.v1.0" hidden="1">Dashboard!$DB$27:$DB$29</definedName>
    <definedName name="_xlchart.v1.1" hidden="1">Dashboard!$DC$26</definedName>
    <definedName name="_xlchart.v1.2" hidden="1">Dashboard!$DC$27:$DC$29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8" i="16" l="1"/>
  <c r="D39" i="16"/>
  <c r="D44" i="16"/>
  <c r="D23" i="16"/>
  <c r="E23" i="16" s="1"/>
  <c r="F23" i="16" s="1"/>
  <c r="G23" i="16" s="1"/>
  <c r="H23" i="16" s="1"/>
  <c r="D17" i="16"/>
  <c r="D16" i="16"/>
  <c r="E30" i="11"/>
  <c r="E28" i="11"/>
  <c r="E27" i="11"/>
  <c r="E24" i="11"/>
  <c r="D24" i="11"/>
  <c r="D23" i="11"/>
  <c r="E22" i="11"/>
  <c r="D22" i="11"/>
  <c r="F21" i="11"/>
  <c r="E21" i="11"/>
  <c r="D21" i="11"/>
  <c r="F20" i="11"/>
  <c r="E20" i="11"/>
  <c r="D20" i="11"/>
  <c r="F19" i="11"/>
  <c r="E19" i="11"/>
  <c r="D19" i="11"/>
  <c r="D57" i="8"/>
  <c r="F37" i="8"/>
  <c r="E37" i="8"/>
  <c r="D37" i="8"/>
  <c r="G26" i="8"/>
  <c r="G25" i="8"/>
  <c r="G24" i="8"/>
  <c r="G23" i="8"/>
  <c r="G22" i="8"/>
  <c r="G21" i="8"/>
  <c r="E16" i="8"/>
  <c r="D16" i="8"/>
  <c r="E8" i="8"/>
  <c r="G34" i="7"/>
  <c r="F34" i="7"/>
  <c r="G33" i="7"/>
  <c r="F33" i="7"/>
  <c r="E33" i="7"/>
  <c r="G21" i="7"/>
  <c r="F21" i="7"/>
  <c r="G20" i="7"/>
  <c r="F20" i="7"/>
  <c r="E20" i="7"/>
  <c r="G8" i="7"/>
  <c r="F8" i="7"/>
  <c r="G7" i="7"/>
  <c r="F7" i="7"/>
  <c r="E7" i="7"/>
  <c r="E203" i="6"/>
  <c r="F203" i="6" s="1"/>
  <c r="D203" i="6"/>
  <c r="F202" i="6"/>
  <c r="E202" i="6"/>
  <c r="D202" i="6"/>
  <c r="D201" i="6"/>
  <c r="E201" i="6" s="1"/>
  <c r="F201" i="6" s="1"/>
  <c r="H173" i="6"/>
  <c r="G173" i="6"/>
  <c r="F173" i="6"/>
  <c r="E173" i="6"/>
  <c r="D173" i="6"/>
  <c r="D150" i="6"/>
  <c r="D149" i="6"/>
  <c r="D151" i="6" s="1"/>
  <c r="F131" i="6"/>
  <c r="E131" i="6"/>
  <c r="D131" i="6"/>
  <c r="F118" i="6"/>
  <c r="G45" i="9" s="1"/>
  <c r="E118" i="6"/>
  <c r="F45" i="9" s="1"/>
  <c r="D118" i="6"/>
  <c r="E45" i="9" s="1"/>
  <c r="F106" i="6"/>
  <c r="E106" i="6"/>
  <c r="DI15" i="2" s="1"/>
  <c r="D106" i="6"/>
  <c r="F84" i="6"/>
  <c r="E84" i="6"/>
  <c r="D84" i="6"/>
  <c r="F83" i="6"/>
  <c r="E83" i="6"/>
  <c r="D83" i="6"/>
  <c r="F64" i="6"/>
  <c r="E64" i="6"/>
  <c r="DC22" i="2" s="1"/>
  <c r="D64" i="6"/>
  <c r="F63" i="6"/>
  <c r="F121" i="6" s="1"/>
  <c r="G47" i="9" s="1"/>
  <c r="E63" i="6"/>
  <c r="E121" i="6" s="1"/>
  <c r="DI36" i="2" s="1"/>
  <c r="D63" i="6"/>
  <c r="D121" i="6" s="1"/>
  <c r="E47" i="9" s="1"/>
  <c r="F62" i="6"/>
  <c r="E62" i="6"/>
  <c r="DC20" i="2" s="1"/>
  <c r="D62" i="6"/>
  <c r="F61" i="6"/>
  <c r="E61" i="6"/>
  <c r="D61" i="6"/>
  <c r="F54" i="6"/>
  <c r="E54" i="6"/>
  <c r="D54" i="6"/>
  <c r="C54" i="6"/>
  <c r="B54" i="6"/>
  <c r="F53" i="6"/>
  <c r="E53" i="6"/>
  <c r="D53" i="6"/>
  <c r="C53" i="6"/>
  <c r="B53" i="6"/>
  <c r="F52" i="6"/>
  <c r="E52" i="6"/>
  <c r="D52" i="6"/>
  <c r="C52" i="6"/>
  <c r="B52" i="6"/>
  <c r="F51" i="6"/>
  <c r="E51" i="6"/>
  <c r="D51" i="6"/>
  <c r="C51" i="6"/>
  <c r="B51" i="6"/>
  <c r="F50" i="6"/>
  <c r="E50" i="6"/>
  <c r="D50" i="6"/>
  <c r="C50" i="6"/>
  <c r="B50" i="6"/>
  <c r="F49" i="6"/>
  <c r="E49" i="6"/>
  <c r="D49" i="6"/>
  <c r="C49" i="6"/>
  <c r="B49" i="6"/>
  <c r="F48" i="6"/>
  <c r="E48" i="6"/>
  <c r="D48" i="6"/>
  <c r="C48" i="6"/>
  <c r="B48" i="6"/>
  <c r="F47" i="6"/>
  <c r="E47" i="6"/>
  <c r="D47" i="6"/>
  <c r="C47" i="6"/>
  <c r="B47" i="6"/>
  <c r="F46" i="6"/>
  <c r="E46" i="6"/>
  <c r="D46" i="6"/>
  <c r="C46" i="6"/>
  <c r="B46" i="6"/>
  <c r="F45" i="6"/>
  <c r="E45" i="6"/>
  <c r="D45" i="6"/>
  <c r="C45" i="6"/>
  <c r="B45" i="6"/>
  <c r="F44" i="6"/>
  <c r="E44" i="6"/>
  <c r="D44" i="6"/>
  <c r="C44" i="6"/>
  <c r="B44" i="6"/>
  <c r="F43" i="6"/>
  <c r="E43" i="6"/>
  <c r="D43" i="6"/>
  <c r="C43" i="6"/>
  <c r="B43" i="6"/>
  <c r="F42" i="6"/>
  <c r="E42" i="6"/>
  <c r="D42" i="6"/>
  <c r="C42" i="6"/>
  <c r="B42" i="6"/>
  <c r="F41" i="6"/>
  <c r="E41" i="6"/>
  <c r="D41" i="6"/>
  <c r="D55" i="6" s="1"/>
  <c r="C41" i="6"/>
  <c r="B41" i="6"/>
  <c r="F40" i="6"/>
  <c r="E40" i="6"/>
  <c r="D40" i="6"/>
  <c r="C40" i="6"/>
  <c r="B40" i="6"/>
  <c r="F33" i="6"/>
  <c r="F32" i="5" s="1"/>
  <c r="F23" i="6"/>
  <c r="F16" i="8" s="1"/>
  <c r="E23" i="6"/>
  <c r="D23" i="6"/>
  <c r="F22" i="6"/>
  <c r="E22" i="6"/>
  <c r="D22" i="6"/>
  <c r="F21" i="6"/>
  <c r="E21" i="6"/>
  <c r="D21" i="6"/>
  <c r="F19" i="6"/>
  <c r="E19" i="6"/>
  <c r="E29" i="11" s="1"/>
  <c r="D19" i="6"/>
  <c r="D8" i="8" s="1"/>
  <c r="F12" i="6"/>
  <c r="F24" i="6" s="1"/>
  <c r="E12" i="6"/>
  <c r="BK113" i="2" s="1"/>
  <c r="D12" i="6"/>
  <c r="F7" i="6"/>
  <c r="F8" i="6" s="1"/>
  <c r="F9" i="6" s="1"/>
  <c r="F15" i="6" s="1"/>
  <c r="E7" i="6"/>
  <c r="E8" i="6" s="1"/>
  <c r="D7" i="6"/>
  <c r="D8" i="6" s="1"/>
  <c r="C52" i="5"/>
  <c r="F51" i="5"/>
  <c r="E51" i="5"/>
  <c r="D51" i="5"/>
  <c r="C51" i="5"/>
  <c r="F50" i="5"/>
  <c r="E50" i="5"/>
  <c r="D50" i="5"/>
  <c r="C50" i="5"/>
  <c r="F49" i="5"/>
  <c r="E49" i="5"/>
  <c r="C49" i="5"/>
  <c r="F48" i="5"/>
  <c r="E48" i="5"/>
  <c r="D48" i="5"/>
  <c r="C48" i="5"/>
  <c r="F47" i="5"/>
  <c r="E47" i="5"/>
  <c r="D47" i="5"/>
  <c r="C47" i="5"/>
  <c r="F46" i="5"/>
  <c r="E46" i="5"/>
  <c r="C46" i="5"/>
  <c r="F45" i="5"/>
  <c r="E45" i="5"/>
  <c r="C45" i="5"/>
  <c r="F44" i="5"/>
  <c r="E44" i="5"/>
  <c r="D44" i="5"/>
  <c r="C44" i="5"/>
  <c r="F43" i="5"/>
  <c r="E43" i="5"/>
  <c r="D43" i="5"/>
  <c r="C43" i="5"/>
  <c r="F42" i="5"/>
  <c r="E42" i="5"/>
  <c r="D42" i="5"/>
  <c r="C42" i="5"/>
  <c r="F41" i="5"/>
  <c r="E41" i="5"/>
  <c r="D41" i="5"/>
  <c r="C41" i="5"/>
  <c r="F40" i="5"/>
  <c r="E40" i="5"/>
  <c r="D40" i="5"/>
  <c r="C40" i="5"/>
  <c r="E12" i="5"/>
  <c r="D12" i="5"/>
  <c r="F10" i="5"/>
  <c r="F9" i="5"/>
  <c r="E9" i="5"/>
  <c r="D9" i="5"/>
  <c r="D209" i="4"/>
  <c r="D208" i="4"/>
  <c r="D63" i="16" s="1"/>
  <c r="D192" i="4"/>
  <c r="D30" i="16" s="1"/>
  <c r="F150" i="4"/>
  <c r="D23" i="4" s="1"/>
  <c r="E150" i="4"/>
  <c r="E149" i="4"/>
  <c r="F149" i="4" s="1"/>
  <c r="D36" i="4" s="1"/>
  <c r="D49" i="5" s="1"/>
  <c r="E148" i="4"/>
  <c r="F147" i="4"/>
  <c r="E147" i="4"/>
  <c r="D138" i="4"/>
  <c r="D139" i="4" s="1"/>
  <c r="I120" i="2"/>
  <c r="CL101" i="2"/>
  <c r="AU79" i="2"/>
  <c r="DH66" i="2"/>
  <c r="DH65" i="2"/>
  <c r="CL61" i="2"/>
  <c r="AU61" i="2"/>
  <c r="DI55" i="2"/>
  <c r="AB53" i="2"/>
  <c r="DA25" i="2"/>
  <c r="DA24" i="2"/>
  <c r="DA23" i="2"/>
  <c r="DC21" i="2"/>
  <c r="DC19" i="2"/>
  <c r="CL16" i="2"/>
  <c r="S10" i="2"/>
  <c r="DA6" i="2"/>
  <c r="D43" i="1"/>
  <c r="D78" i="6" l="1"/>
  <c r="D79" i="6" s="1"/>
  <c r="D9" i="6"/>
  <c r="H21" i="11"/>
  <c r="F21" i="8"/>
  <c r="F46" i="7"/>
  <c r="H31" i="11"/>
  <c r="H23" i="11"/>
  <c r="E21" i="8"/>
  <c r="E46" i="7"/>
  <c r="F126" i="6"/>
  <c r="H26" i="11"/>
  <c r="D21" i="8"/>
  <c r="D46" i="7"/>
  <c r="D38" i="7"/>
  <c r="E126" i="6"/>
  <c r="DI41" i="2" s="1"/>
  <c r="D25" i="7"/>
  <c r="D126" i="6"/>
  <c r="D12" i="7"/>
  <c r="D36" i="8"/>
  <c r="H24" i="11"/>
  <c r="F73" i="6"/>
  <c r="F17" i="5" s="1"/>
  <c r="H22" i="11"/>
  <c r="H28" i="11"/>
  <c r="F36" i="8"/>
  <c r="E73" i="6"/>
  <c r="H30" i="11"/>
  <c r="F35" i="8"/>
  <c r="H20" i="11"/>
  <c r="E36" i="8"/>
  <c r="D9" i="1" s="1"/>
  <c r="D73" i="6"/>
  <c r="D17" i="5" s="1"/>
  <c r="D35" i="8"/>
  <c r="H19" i="11"/>
  <c r="D8" i="1"/>
  <c r="H29" i="11"/>
  <c r="E35" i="8"/>
  <c r="J83" i="2" s="1"/>
  <c r="H27" i="11"/>
  <c r="F21" i="1"/>
  <c r="G34" i="9"/>
  <c r="F12" i="5"/>
  <c r="F119" i="6"/>
  <c r="G46" i="9" s="1"/>
  <c r="E119" i="6"/>
  <c r="D119" i="6"/>
  <c r="F55" i="4"/>
  <c r="F9" i="8" s="1"/>
  <c r="E55" i="4"/>
  <c r="D55" i="4"/>
  <c r="D9" i="8" s="1"/>
  <c r="F10" i="6"/>
  <c r="F11" i="6" s="1"/>
  <c r="F13" i="6" s="1"/>
  <c r="E10" i="6"/>
  <c r="D45" i="5"/>
  <c r="D10" i="6"/>
  <c r="DA13" i="2"/>
  <c r="E78" i="6"/>
  <c r="E9" i="6"/>
  <c r="F47" i="9"/>
  <c r="F91" i="6"/>
  <c r="F32" i="6"/>
  <c r="F31" i="5" s="1"/>
  <c r="F31" i="6"/>
  <c r="F29" i="11"/>
  <c r="E9" i="11"/>
  <c r="D9" i="11"/>
  <c r="F31" i="11"/>
  <c r="F23" i="11"/>
  <c r="F26" i="11"/>
  <c r="F24" i="11"/>
  <c r="F22" i="11"/>
  <c r="F120" i="6"/>
  <c r="F8" i="8"/>
  <c r="F148" i="4"/>
  <c r="D43" i="16"/>
  <c r="D45" i="16" s="1"/>
  <c r="D31" i="16"/>
  <c r="E31" i="16" s="1"/>
  <c r="F31" i="16" s="1"/>
  <c r="G31" i="16" s="1"/>
  <c r="H31" i="16" s="1"/>
  <c r="D24" i="6"/>
  <c r="D110" i="6"/>
  <c r="E35" i="9" s="1"/>
  <c r="D7" i="5"/>
  <c r="E24" i="6"/>
  <c r="E110" i="6"/>
  <c r="E7" i="5"/>
  <c r="E16" i="1"/>
  <c r="D16" i="1"/>
  <c r="F78" i="6"/>
  <c r="F79" i="6" s="1"/>
  <c r="F30" i="11"/>
  <c r="F130" i="6"/>
  <c r="E130" i="6"/>
  <c r="DI54" i="2" s="1"/>
  <c r="D130" i="6"/>
  <c r="BK105" i="2"/>
  <c r="D24" i="4"/>
  <c r="F25" i="6"/>
  <c r="F26" i="6" s="1"/>
  <c r="F11" i="5" s="1"/>
  <c r="D18" i="16"/>
  <c r="D120" i="6"/>
  <c r="D8" i="11"/>
  <c r="E26" i="11"/>
  <c r="F16" i="1"/>
  <c r="E120" i="6"/>
  <c r="DI33" i="2" s="1"/>
  <c r="E8" i="11"/>
  <c r="E23" i="11"/>
  <c r="E31" i="11"/>
  <c r="F7" i="5"/>
  <c r="F110" i="6"/>
  <c r="G35" i="9" s="1"/>
  <c r="F22" i="1" l="1"/>
  <c r="DI35" i="2"/>
  <c r="F115" i="6"/>
  <c r="F60" i="6"/>
  <c r="F35" i="6"/>
  <c r="F14" i="6"/>
  <c r="F8" i="5" s="1"/>
  <c r="F59" i="6"/>
  <c r="F65" i="6" s="1"/>
  <c r="F108" i="6"/>
  <c r="G33" i="9" s="1"/>
  <c r="F30" i="6"/>
  <c r="F34" i="6"/>
  <c r="F123" i="6"/>
  <c r="G48" i="9" s="1"/>
  <c r="G35" i="7"/>
  <c r="F133" i="6"/>
  <c r="F92" i="6"/>
  <c r="F134" i="6"/>
  <c r="F111" i="6"/>
  <c r="F35" i="7"/>
  <c r="F107" i="6"/>
  <c r="G32" i="9" s="1"/>
  <c r="E35" i="7"/>
  <c r="F116" i="6"/>
  <c r="F8" i="11"/>
  <c r="F9" i="11"/>
  <c r="DE6" i="2"/>
  <c r="DF6" i="2" s="1"/>
  <c r="D13" i="7"/>
  <c r="H12" i="7"/>
  <c r="BK109" i="2"/>
  <c r="D52" i="5"/>
  <c r="E9" i="8"/>
  <c r="F35" i="9"/>
  <c r="DI16" i="2"/>
  <c r="F34" i="9"/>
  <c r="DA7" i="2"/>
  <c r="AB10" i="2"/>
  <c r="E21" i="1"/>
  <c r="E10" i="5"/>
  <c r="E25" i="6"/>
  <c r="E26" i="6" s="1"/>
  <c r="E34" i="9"/>
  <c r="D21" i="1"/>
  <c r="D10" i="5"/>
  <c r="D25" i="6"/>
  <c r="D26" i="6" s="1"/>
  <c r="D11" i="5" s="1"/>
  <c r="D26" i="7"/>
  <c r="H25" i="7"/>
  <c r="H175" i="6"/>
  <c r="G175" i="6"/>
  <c r="E15" i="6"/>
  <c r="F175" i="6"/>
  <c r="E175" i="6"/>
  <c r="D175" i="6"/>
  <c r="E11" i="6"/>
  <c r="D22" i="1"/>
  <c r="E46" i="9"/>
  <c r="F122" i="6"/>
  <c r="E122" i="6"/>
  <c r="DI37" i="2" s="1"/>
  <c r="BL37" i="2" s="1"/>
  <c r="D122" i="6"/>
  <c r="F46" i="9"/>
  <c r="DI34" i="2"/>
  <c r="AB55" i="2" s="1"/>
  <c r="F12" i="8"/>
  <c r="F30" i="5"/>
  <c r="F80" i="6"/>
  <c r="F102" i="6"/>
  <c r="G39" i="9" s="1"/>
  <c r="F7" i="8"/>
  <c r="E7" i="8"/>
  <c r="D7" i="8"/>
  <c r="F114" i="6"/>
  <c r="E114" i="6"/>
  <c r="DI23" i="2" s="1"/>
  <c r="D114" i="6"/>
  <c r="DA12" i="2"/>
  <c r="F20" i="6"/>
  <c r="F90" i="6" s="1"/>
  <c r="D46" i="5"/>
  <c r="E20" i="6"/>
  <c r="D20" i="6"/>
  <c r="E79" i="6"/>
  <c r="D58" i="8"/>
  <c r="D12" i="11"/>
  <c r="E17" i="5"/>
  <c r="E12" i="11"/>
  <c r="D39" i="7"/>
  <c r="H38" i="7"/>
  <c r="D11" i="6"/>
  <c r="D13" i="6" s="1"/>
  <c r="D15" i="6"/>
  <c r="D33" i="6" l="1"/>
  <c r="D32" i="5" s="1"/>
  <c r="D91" i="6"/>
  <c r="D32" i="6"/>
  <c r="D31" i="5" s="1"/>
  <c r="D31" i="6"/>
  <c r="D10" i="8"/>
  <c r="D14" i="8"/>
  <c r="E11" i="5"/>
  <c r="AN10" i="2"/>
  <c r="F103" i="6"/>
  <c r="F86" i="6"/>
  <c r="F33" i="5"/>
  <c r="D41" i="7"/>
  <c r="D40" i="7"/>
  <c r="E10" i="8"/>
  <c r="DA32" i="2"/>
  <c r="E14" i="8"/>
  <c r="F36" i="6"/>
  <c r="F101" i="6"/>
  <c r="F29" i="5"/>
  <c r="E9" i="7"/>
  <c r="H9" i="7" s="1"/>
  <c r="D111" i="6"/>
  <c r="D92" i="6"/>
  <c r="D116" i="6"/>
  <c r="D115" i="6"/>
  <c r="D60" i="6"/>
  <c r="D109" i="6"/>
  <c r="D90" i="6"/>
  <c r="D14" i="6"/>
  <c r="D8" i="5" s="1"/>
  <c r="D59" i="6"/>
  <c r="D134" i="6"/>
  <c r="G9" i="7"/>
  <c r="D123" i="6"/>
  <c r="E48" i="9" s="1"/>
  <c r="F9" i="7"/>
  <c r="D108" i="6"/>
  <c r="E33" i="9" s="1"/>
  <c r="D35" i="6"/>
  <c r="D133" i="6"/>
  <c r="D107" i="6"/>
  <c r="E32" i="9" s="1"/>
  <c r="D34" i="6"/>
  <c r="D30" i="6"/>
  <c r="F10" i="8"/>
  <c r="F17" i="8" s="1"/>
  <c r="F142" i="6" s="1"/>
  <c r="F143" i="6" s="1"/>
  <c r="F14" i="8"/>
  <c r="DA18" i="2"/>
  <c r="D152" i="6"/>
  <c r="D153" i="6" s="1"/>
  <c r="H174" i="6"/>
  <c r="G174" i="6"/>
  <c r="D174" i="6"/>
  <c r="F174" i="6"/>
  <c r="E174" i="6"/>
  <c r="DA19" i="2"/>
  <c r="E13" i="6"/>
  <c r="F140" i="6"/>
  <c r="F141" i="6" s="1"/>
  <c r="F104" i="6"/>
  <c r="G37" i="7"/>
  <c r="F11" i="8"/>
  <c r="F15" i="8" s="1"/>
  <c r="F37" i="7"/>
  <c r="E37" i="7"/>
  <c r="H37" i="7" s="1"/>
  <c r="C52" i="8" s="1"/>
  <c r="F138" i="6"/>
  <c r="F139" i="6" s="1"/>
  <c r="F70" i="6"/>
  <c r="F85" i="6" s="1"/>
  <c r="F22" i="5" s="1"/>
  <c r="F14" i="5"/>
  <c r="E178" i="6"/>
  <c r="E177" i="6"/>
  <c r="H35" i="7"/>
  <c r="F124" i="6"/>
  <c r="F34" i="5"/>
  <c r="G178" i="6"/>
  <c r="G177" i="6"/>
  <c r="E22" i="1"/>
  <c r="DA33" i="2"/>
  <c r="D75" i="2"/>
  <c r="D15" i="7"/>
  <c r="D14" i="7"/>
  <c r="F12" i="11"/>
  <c r="D178" i="6"/>
  <c r="D177" i="6"/>
  <c r="F178" i="6"/>
  <c r="F177" i="6"/>
  <c r="F109" i="6"/>
  <c r="E91" i="6"/>
  <c r="E32" i="6"/>
  <c r="E31" i="6"/>
  <c r="E33" i="6"/>
  <c r="H178" i="6"/>
  <c r="H177" i="6"/>
  <c r="F117" i="6"/>
  <c r="G44" i="9" s="1"/>
  <c r="F112" i="6"/>
  <c r="F113" i="6" s="1"/>
  <c r="G36" i="9"/>
  <c r="D28" i="7"/>
  <c r="D27" i="7"/>
  <c r="D155" i="6" l="1"/>
  <c r="D40" i="1" s="1"/>
  <c r="D39" i="1"/>
  <c r="F23" i="1"/>
  <c r="G37" i="9"/>
  <c r="D117" i="6"/>
  <c r="E44" i="9" s="1"/>
  <c r="F128" i="6"/>
  <c r="G41" i="9"/>
  <c r="H182" i="6"/>
  <c r="H180" i="6"/>
  <c r="H176" i="6"/>
  <c r="H179" i="6"/>
  <c r="F72" i="5"/>
  <c r="D112" i="6"/>
  <c r="D113" i="6" s="1"/>
  <c r="E36" i="9"/>
  <c r="D17" i="8"/>
  <c r="D142" i="6" s="1"/>
  <c r="D143" i="6" s="1"/>
  <c r="H192" i="6"/>
  <c r="D36" i="6"/>
  <c r="D101" i="6"/>
  <c r="D29" i="5"/>
  <c r="D33" i="5"/>
  <c r="D103" i="6"/>
  <c r="D86" i="6"/>
  <c r="E31" i="5"/>
  <c r="DC9" i="2"/>
  <c r="D34" i="5"/>
  <c r="D124" i="6"/>
  <c r="D12" i="8"/>
  <c r="D102" i="6"/>
  <c r="E39" i="9" s="1"/>
  <c r="D80" i="6"/>
  <c r="D30" i="5"/>
  <c r="F81" i="6"/>
  <c r="F82" i="6" s="1"/>
  <c r="E32" i="5"/>
  <c r="DC8" i="2"/>
  <c r="E12" i="8"/>
  <c r="DC7" i="2"/>
  <c r="E30" i="5"/>
  <c r="E80" i="6"/>
  <c r="E102" i="6"/>
  <c r="E116" i="6"/>
  <c r="DI28" i="2" s="1"/>
  <c r="E115" i="6"/>
  <c r="E60" i="6"/>
  <c r="DC18" i="2" s="1"/>
  <c r="E90" i="6"/>
  <c r="E14" i="6"/>
  <c r="E8" i="5" s="1"/>
  <c r="E59" i="6"/>
  <c r="E108" i="6"/>
  <c r="E109" i="6" s="1"/>
  <c r="DI14" i="2" s="1"/>
  <c r="E30" i="6"/>
  <c r="I203" i="6" s="1"/>
  <c r="D10" i="2"/>
  <c r="E123" i="6"/>
  <c r="E107" i="6"/>
  <c r="G22" i="7"/>
  <c r="E134" i="6"/>
  <c r="DI61" i="2" s="1"/>
  <c r="E111" i="6"/>
  <c r="E35" i="6"/>
  <c r="D22" i="16"/>
  <c r="F22" i="7"/>
  <c r="E22" i="7"/>
  <c r="H22" i="7" s="1"/>
  <c r="E133" i="6"/>
  <c r="E92" i="6"/>
  <c r="E34" i="6"/>
  <c r="F105" i="6"/>
  <c r="F65" i="5" s="1"/>
  <c r="G38" i="9"/>
  <c r="F127" i="6"/>
  <c r="F129" i="6" s="1"/>
  <c r="E176" i="6"/>
  <c r="E179" i="6"/>
  <c r="E182" i="6"/>
  <c r="E180" i="6"/>
  <c r="F25" i="8"/>
  <c r="F66" i="5"/>
  <c r="F69" i="6"/>
  <c r="F71" i="6" s="1"/>
  <c r="F13" i="5"/>
  <c r="F36" i="7"/>
  <c r="F39" i="7" s="1"/>
  <c r="F40" i="7" s="1"/>
  <c r="F24" i="8"/>
  <c r="G36" i="7"/>
  <c r="G39" i="7" s="1"/>
  <c r="G40" i="7" s="1"/>
  <c r="F35" i="5"/>
  <c r="F23" i="8"/>
  <c r="E36" i="7"/>
  <c r="F22" i="8"/>
  <c r="F26" i="8"/>
  <c r="F125" i="6"/>
  <c r="G49" i="9"/>
  <c r="F179" i="6"/>
  <c r="F182" i="6"/>
  <c r="F180" i="6"/>
  <c r="F176" i="6"/>
  <c r="F181" i="6" s="1"/>
  <c r="D176" i="6"/>
  <c r="D179" i="6"/>
  <c r="D182" i="6"/>
  <c r="D180" i="6"/>
  <c r="F93" i="6"/>
  <c r="E192" i="6"/>
  <c r="G182" i="6"/>
  <c r="G176" i="6"/>
  <c r="G180" i="6"/>
  <c r="G192" i="6" s="1"/>
  <c r="G179" i="6"/>
  <c r="D65" i="6"/>
  <c r="F94" i="6"/>
  <c r="F97" i="6" s="1"/>
  <c r="F20" i="5" s="1"/>
  <c r="D181" i="6" l="1"/>
  <c r="F17" i="1"/>
  <c r="F72" i="6"/>
  <c r="F13" i="8"/>
  <c r="F15" i="5"/>
  <c r="F68" i="5" s="1"/>
  <c r="F33" i="8"/>
  <c r="F132" i="6"/>
  <c r="G43" i="9" s="1"/>
  <c r="D192" i="6"/>
  <c r="F185" i="6"/>
  <c r="F188" i="6"/>
  <c r="F187" i="6"/>
  <c r="F183" i="6"/>
  <c r="F186" i="6"/>
  <c r="F189" i="6"/>
  <c r="DE20" i="2"/>
  <c r="DC17" i="2"/>
  <c r="E65" i="6"/>
  <c r="G20" i="11"/>
  <c r="K20" i="11" s="1"/>
  <c r="D32" i="16"/>
  <c r="D64" i="16"/>
  <c r="E22" i="16"/>
  <c r="D24" i="16"/>
  <c r="F29" i="8"/>
  <c r="F28" i="8"/>
  <c r="F19" i="1" s="1"/>
  <c r="F27" i="8"/>
  <c r="I23" i="11"/>
  <c r="G23" i="11"/>
  <c r="E36" i="6"/>
  <c r="I24" i="11"/>
  <c r="DC6" i="2"/>
  <c r="I22" i="11"/>
  <c r="G22" i="11"/>
  <c r="K22" i="11" s="1"/>
  <c r="G24" i="11"/>
  <c r="K24" i="11" s="1"/>
  <c r="E101" i="6"/>
  <c r="E29" i="5"/>
  <c r="D23" i="1"/>
  <c r="E37" i="9"/>
  <c r="J24" i="11"/>
  <c r="D72" i="5"/>
  <c r="DI27" i="2"/>
  <c r="E117" i="6"/>
  <c r="I201" i="6"/>
  <c r="I202" i="6"/>
  <c r="D127" i="6"/>
  <c r="E38" i="9"/>
  <c r="DC10" i="2"/>
  <c r="E103" i="6"/>
  <c r="E86" i="6"/>
  <c r="E33" i="5"/>
  <c r="E17" i="8"/>
  <c r="E142" i="6" s="1"/>
  <c r="E124" i="6"/>
  <c r="E34" i="5"/>
  <c r="DC11" i="2"/>
  <c r="D70" i="6"/>
  <c r="D14" i="5"/>
  <c r="D140" i="6"/>
  <c r="D141" i="6" s="1"/>
  <c r="E11" i="7"/>
  <c r="D104" i="6"/>
  <c r="G11" i="7"/>
  <c r="D11" i="8"/>
  <c r="D15" i="8" s="1"/>
  <c r="F11" i="7"/>
  <c r="D138" i="6"/>
  <c r="D139" i="6" s="1"/>
  <c r="E112" i="6"/>
  <c r="F36" i="9"/>
  <c r="DI20" i="2"/>
  <c r="G181" i="6"/>
  <c r="E181" i="6"/>
  <c r="DI12" i="2"/>
  <c r="F32" i="9"/>
  <c r="F39" i="9"/>
  <c r="DI7" i="2"/>
  <c r="G40" i="9"/>
  <c r="F71" i="5"/>
  <c r="F21" i="5"/>
  <c r="F20" i="1"/>
  <c r="D25" i="8"/>
  <c r="D66" i="5"/>
  <c r="D69" i="6"/>
  <c r="D13" i="5"/>
  <c r="D24" i="8"/>
  <c r="F10" i="7"/>
  <c r="F13" i="7" s="1"/>
  <c r="F14" i="7" s="1"/>
  <c r="D23" i="8"/>
  <c r="G10" i="7"/>
  <c r="G13" i="7" s="1"/>
  <c r="G14" i="7" s="1"/>
  <c r="D26" i="8"/>
  <c r="E10" i="7"/>
  <c r="D35" i="5"/>
  <c r="D22" i="8"/>
  <c r="G42" i="9"/>
  <c r="F67" i="5"/>
  <c r="H36" i="7"/>
  <c r="E39" i="7"/>
  <c r="J22" i="11"/>
  <c r="D125" i="6"/>
  <c r="E49" i="9"/>
  <c r="DI60" i="2"/>
  <c r="E72" i="5"/>
  <c r="H181" i="6"/>
  <c r="G21" i="11"/>
  <c r="K21" i="11" s="1"/>
  <c r="E41" i="9"/>
  <c r="D128" i="6"/>
  <c r="F192" i="6"/>
  <c r="DI48" i="2"/>
  <c r="F48" i="9"/>
  <c r="J21" i="11"/>
  <c r="F96" i="6"/>
  <c r="F19" i="5" s="1"/>
  <c r="F34" i="8"/>
  <c r="DI13" i="2"/>
  <c r="F33" i="9"/>
  <c r="J23" i="11"/>
  <c r="D28" i="8" l="1"/>
  <c r="D19" i="1" s="1"/>
  <c r="D27" i="8"/>
  <c r="D29" i="8"/>
  <c r="D30" i="1"/>
  <c r="E185" i="6"/>
  <c r="E187" i="6"/>
  <c r="E188" i="6"/>
  <c r="E183" i="6"/>
  <c r="E189" i="6"/>
  <c r="E186" i="6"/>
  <c r="DI49" i="2"/>
  <c r="E125" i="6"/>
  <c r="DI50" i="2" s="1"/>
  <c r="F49" i="9"/>
  <c r="F191" i="6"/>
  <c r="F30" i="1" s="1"/>
  <c r="F190" i="6"/>
  <c r="DI21" i="2"/>
  <c r="E113" i="6"/>
  <c r="D67" i="16"/>
  <c r="D71" i="6"/>
  <c r="DI8" i="2"/>
  <c r="AB47" i="2" s="1"/>
  <c r="F41" i="9"/>
  <c r="E128" i="6"/>
  <c r="DI43" i="2" s="1"/>
  <c r="F38" i="8"/>
  <c r="F69" i="5"/>
  <c r="F40" i="8"/>
  <c r="F38" i="9"/>
  <c r="DI6" i="2"/>
  <c r="E127" i="6"/>
  <c r="E32" i="16"/>
  <c r="F22" i="16"/>
  <c r="E24" i="16"/>
  <c r="H185" i="6"/>
  <c r="H188" i="6"/>
  <c r="H187" i="6"/>
  <c r="H186" i="6"/>
  <c r="H183" i="6"/>
  <c r="H189" i="6"/>
  <c r="F50" i="7"/>
  <c r="H39" i="7"/>
  <c r="E40" i="7"/>
  <c r="H40" i="7" s="1"/>
  <c r="F48" i="7" s="1"/>
  <c r="F49" i="7"/>
  <c r="F24" i="5" s="1"/>
  <c r="E41" i="7"/>
  <c r="F41" i="7" s="1"/>
  <c r="G41" i="7" s="1"/>
  <c r="E140" i="6"/>
  <c r="DC23" i="2"/>
  <c r="E104" i="6"/>
  <c r="G24" i="7"/>
  <c r="E11" i="8"/>
  <c r="E15" i="8" s="1"/>
  <c r="F24" i="7"/>
  <c r="E24" i="7"/>
  <c r="H24" i="7" s="1"/>
  <c r="C51" i="8" s="1"/>
  <c r="D11" i="1" s="1"/>
  <c r="E138" i="6"/>
  <c r="E14" i="5"/>
  <c r="D10" i="1"/>
  <c r="E70" i="6"/>
  <c r="J20" i="11"/>
  <c r="J19" i="11"/>
  <c r="F74" i="6"/>
  <c r="F16" i="5"/>
  <c r="F44" i="9"/>
  <c r="DI29" i="2"/>
  <c r="AB51" i="2" s="1"/>
  <c r="AB41" i="2"/>
  <c r="AH20" i="2"/>
  <c r="D81" i="6"/>
  <c r="D82" i="6" s="1"/>
  <c r="D85" i="6"/>
  <c r="D22" i="5" s="1"/>
  <c r="D93" i="6"/>
  <c r="D94" i="6"/>
  <c r="D97" i="6" s="1"/>
  <c r="D20" i="5" s="1"/>
  <c r="BW113" i="2"/>
  <c r="E143" i="6"/>
  <c r="D66" i="16"/>
  <c r="D65" i="16"/>
  <c r="F41" i="8"/>
  <c r="F39" i="8"/>
  <c r="F42" i="8" s="1"/>
  <c r="D129" i="6"/>
  <c r="H11" i="7"/>
  <c r="C50" i="8" s="1"/>
  <c r="I31" i="11"/>
  <c r="I26" i="11"/>
  <c r="E25" i="8"/>
  <c r="DE10" i="2" s="1"/>
  <c r="E66" i="5"/>
  <c r="E69" i="6"/>
  <c r="E13" i="5"/>
  <c r="H201" i="6"/>
  <c r="G201" i="6"/>
  <c r="E23" i="8"/>
  <c r="DE8" i="2" s="1"/>
  <c r="I28" i="11"/>
  <c r="E24" i="8"/>
  <c r="DE9" i="2" s="1"/>
  <c r="G23" i="7"/>
  <c r="G26" i="7" s="1"/>
  <c r="G27" i="7" s="1"/>
  <c r="I30" i="11"/>
  <c r="H203" i="6"/>
  <c r="G203" i="6"/>
  <c r="D44" i="1" s="1"/>
  <c r="I27" i="11"/>
  <c r="E23" i="7"/>
  <c r="D10" i="11"/>
  <c r="I29" i="11"/>
  <c r="G202" i="6"/>
  <c r="H202" i="6"/>
  <c r="E26" i="8"/>
  <c r="DE11" i="2" s="1"/>
  <c r="E35" i="5"/>
  <c r="E22" i="8"/>
  <c r="F23" i="7"/>
  <c r="F26" i="7" s="1"/>
  <c r="F27" i="7" s="1"/>
  <c r="E10" i="11"/>
  <c r="D189" i="6"/>
  <c r="D185" i="6"/>
  <c r="D188" i="6"/>
  <c r="D187" i="6"/>
  <c r="D186" i="6"/>
  <c r="D183" i="6"/>
  <c r="F184" i="6" s="1"/>
  <c r="E13" i="7"/>
  <c r="H10" i="7"/>
  <c r="G185" i="6"/>
  <c r="G188" i="6"/>
  <c r="G187" i="6"/>
  <c r="G183" i="6"/>
  <c r="G186" i="6"/>
  <c r="G189" i="6"/>
  <c r="K23" i="11"/>
  <c r="G19" i="11"/>
  <c r="K19" i="11" s="1"/>
  <c r="DC35" i="2" l="1"/>
  <c r="DC28" i="2"/>
  <c r="E85" i="6"/>
  <c r="E22" i="5" s="1"/>
  <c r="E93" i="6"/>
  <c r="E81" i="6"/>
  <c r="E94" i="6"/>
  <c r="H184" i="6"/>
  <c r="D32" i="1"/>
  <c r="D33" i="8"/>
  <c r="D13" i="8"/>
  <c r="D132" i="6"/>
  <c r="E43" i="9" s="1"/>
  <c r="D17" i="1"/>
  <c r="D72" i="6"/>
  <c r="D15" i="5"/>
  <c r="D68" i="5" s="1"/>
  <c r="D96" i="6"/>
  <c r="D19" i="5" s="1"/>
  <c r="D34" i="8"/>
  <c r="H191" i="6"/>
  <c r="F32" i="1" s="1"/>
  <c r="H190" i="6"/>
  <c r="E191" i="6"/>
  <c r="F29" i="1" s="1"/>
  <c r="E190" i="6"/>
  <c r="F70" i="5"/>
  <c r="F47" i="7"/>
  <c r="F23" i="5" s="1"/>
  <c r="F18" i="1"/>
  <c r="F25" i="5"/>
  <c r="E184" i="6"/>
  <c r="D29" i="1"/>
  <c r="DE7" i="2"/>
  <c r="DF7" i="2" s="1"/>
  <c r="DF8" i="2" s="1"/>
  <c r="DF9" i="2" s="1"/>
  <c r="DF10" i="2" s="1"/>
  <c r="DF11" i="2" s="1"/>
  <c r="J89" i="2"/>
  <c r="E29" i="8"/>
  <c r="E27" i="8"/>
  <c r="E28" i="8"/>
  <c r="G184" i="6"/>
  <c r="D31" i="1"/>
  <c r="E42" i="9"/>
  <c r="D67" i="5"/>
  <c r="DC34" i="2"/>
  <c r="BE97" i="2"/>
  <c r="E71" i="6"/>
  <c r="DC27" i="2"/>
  <c r="E40" i="9"/>
  <c r="D71" i="5"/>
  <c r="D20" i="1"/>
  <c r="D21" i="5"/>
  <c r="F32" i="16"/>
  <c r="G22" i="16"/>
  <c r="F24" i="16"/>
  <c r="E23" i="1"/>
  <c r="DI22" i="2"/>
  <c r="F37" i="9"/>
  <c r="F18" i="5"/>
  <c r="F95" i="6"/>
  <c r="D191" i="6"/>
  <c r="F28" i="1" s="1"/>
  <c r="D190" i="6"/>
  <c r="DI42" i="2"/>
  <c r="E129" i="6"/>
  <c r="F193" i="6"/>
  <c r="E30" i="1"/>
  <c r="BW105" i="2"/>
  <c r="E139" i="6"/>
  <c r="E141" i="6"/>
  <c r="BW109" i="2"/>
  <c r="F10" i="11"/>
  <c r="D18" i="2"/>
  <c r="D50" i="7"/>
  <c r="E14" i="7"/>
  <c r="H14" i="7" s="1"/>
  <c r="D48" i="7" s="1"/>
  <c r="H13" i="7"/>
  <c r="D49" i="7"/>
  <c r="D24" i="5" s="1"/>
  <c r="E15" i="7"/>
  <c r="F15" i="7" s="1"/>
  <c r="G15" i="7" s="1"/>
  <c r="E26" i="7"/>
  <c r="H23" i="7"/>
  <c r="G191" i="6"/>
  <c r="F31" i="1" s="1"/>
  <c r="G190" i="6"/>
  <c r="D28" i="1"/>
  <c r="D184" i="6"/>
  <c r="D105" i="6"/>
  <c r="D65" i="5" s="1"/>
  <c r="E31" i="1" l="1"/>
  <c r="G193" i="6"/>
  <c r="D38" i="8"/>
  <c r="D40" i="8"/>
  <c r="D69" i="5"/>
  <c r="DI44" i="2"/>
  <c r="AB49" i="2" s="1"/>
  <c r="F42" i="9"/>
  <c r="E67" i="5"/>
  <c r="DE21" i="2"/>
  <c r="E82" i="6"/>
  <c r="G29" i="11"/>
  <c r="K29" i="11" s="1"/>
  <c r="E33" i="8"/>
  <c r="E13" i="8"/>
  <c r="E132" i="6"/>
  <c r="G30" i="11"/>
  <c r="K30" i="11" s="1"/>
  <c r="G31" i="11"/>
  <c r="K31" i="11" s="1"/>
  <c r="G26" i="11"/>
  <c r="K26" i="11" s="1"/>
  <c r="AY105" i="2"/>
  <c r="BC10" i="2"/>
  <c r="E17" i="1"/>
  <c r="G28" i="11"/>
  <c r="K28" i="11" s="1"/>
  <c r="E11" i="11"/>
  <c r="DC36" i="2"/>
  <c r="E72" i="6"/>
  <c r="DC29" i="2"/>
  <c r="G27" i="11"/>
  <c r="K27" i="11" s="1"/>
  <c r="D11" i="11"/>
  <c r="F11" i="11" s="1"/>
  <c r="E15" i="5"/>
  <c r="E68" i="5" s="1"/>
  <c r="E97" i="6"/>
  <c r="D33" i="1"/>
  <c r="E193" i="6"/>
  <c r="E29" i="1"/>
  <c r="D70" i="5"/>
  <c r="D47" i="7"/>
  <c r="D23" i="5" s="1"/>
  <c r="D193" i="6"/>
  <c r="E28" i="1"/>
  <c r="D34" i="1"/>
  <c r="D18" i="1"/>
  <c r="D25" i="5"/>
  <c r="BJ34" i="2"/>
  <c r="AB43" i="2"/>
  <c r="D41" i="8"/>
  <c r="D39" i="8"/>
  <c r="D42" i="8" s="1"/>
  <c r="E105" i="6"/>
  <c r="H22" i="16"/>
  <c r="G32" i="16"/>
  <c r="G24" i="16"/>
  <c r="E96" i="6"/>
  <c r="E34" i="8"/>
  <c r="E32" i="1"/>
  <c r="H193" i="6"/>
  <c r="D74" i="6"/>
  <c r="D16" i="5"/>
  <c r="E50" i="7"/>
  <c r="E27" i="7"/>
  <c r="H27" i="7" s="1"/>
  <c r="E48" i="7" s="1"/>
  <c r="H26" i="7"/>
  <c r="E49" i="7"/>
  <c r="E28" i="7"/>
  <c r="F28" i="7" s="1"/>
  <c r="G28" i="7" s="1"/>
  <c r="J95" i="2"/>
  <c r="D98" i="2" s="1"/>
  <c r="E19" i="1"/>
  <c r="E24" i="5" l="1"/>
  <c r="J92" i="2"/>
  <c r="E70" i="5"/>
  <c r="E47" i="7"/>
  <c r="E23" i="5" s="1"/>
  <c r="J26" i="11"/>
  <c r="CG10" i="2"/>
  <c r="F40" i="9"/>
  <c r="E71" i="5"/>
  <c r="J28" i="11"/>
  <c r="DE22" i="2"/>
  <c r="AB45" i="2" s="1"/>
  <c r="J30" i="11"/>
  <c r="J31" i="11"/>
  <c r="AY114" i="2"/>
  <c r="E20" i="1"/>
  <c r="E21" i="5"/>
  <c r="J29" i="11"/>
  <c r="J27" i="11"/>
  <c r="D18" i="5"/>
  <c r="D95" i="6"/>
  <c r="DI67" i="2"/>
  <c r="F33" i="1"/>
  <c r="DH67" i="2"/>
  <c r="E20" i="5"/>
  <c r="DI70" i="2"/>
  <c r="E38" i="8"/>
  <c r="E69" i="5"/>
  <c r="E40" i="8"/>
  <c r="J86" i="2"/>
  <c r="E74" i="6"/>
  <c r="D59" i="8"/>
  <c r="E16" i="5"/>
  <c r="D60" i="8"/>
  <c r="E41" i="8"/>
  <c r="E39" i="8"/>
  <c r="E42" i="8" s="1"/>
  <c r="E19" i="5"/>
  <c r="DI66" i="2"/>
  <c r="AY111" i="2"/>
  <c r="E65" i="5"/>
  <c r="D74" i="5" s="1"/>
  <c r="D41" i="1"/>
  <c r="AY108" i="2"/>
  <c r="E18" i="1"/>
  <c r="BR10" i="2"/>
  <c r="E25" i="5"/>
  <c r="DI69" i="2"/>
  <c r="H24" i="16"/>
  <c r="J24" i="16" s="1"/>
  <c r="H32" i="16"/>
  <c r="I22" i="16"/>
  <c r="F43" i="9"/>
  <c r="DI56" i="2"/>
  <c r="E18" i="5" l="1"/>
  <c r="E13" i="11"/>
  <c r="D13" i="11"/>
  <c r="F13" i="11" s="1"/>
  <c r="D14" i="11" s="1"/>
  <c r="D42" i="1" s="1"/>
  <c r="E95" i="6"/>
  <c r="DI65" i="2" s="1"/>
  <c r="D117" i="2"/>
  <c r="J32" i="16"/>
  <c r="I32" i="16"/>
  <c r="D40" i="16" s="1"/>
  <c r="D41" i="16" s="1"/>
  <c r="I24" i="16"/>
  <c r="C54" i="8" s="1"/>
</calcChain>
</file>

<file path=xl/sharedStrings.xml><?xml version="1.0" encoding="utf-8"?>
<sst xmlns="http://schemas.openxmlformats.org/spreadsheetml/2006/main" count="4720" uniqueCount="3164">
  <si>
    <t>ClaimPulse  ·  Investment Committee Summary</t>
  </si>
  <si>
    <t>Team Finsighters  ·  NMIMS Mumbai  ·  PS_BFDL Motor Insurance Claims TAT.  One page. Every figure on it is live from the model behind it; the tab reference tells you where.</t>
  </si>
  <si>
    <t>All figures at the Base plan: 60 per cent rollout of the addressable Motor OD book, filed FY2026 net-earned-premium basis.</t>
  </si>
  <si>
    <t>1.  THE ASK</t>
  </si>
  <si>
    <t>Ref</t>
  </si>
  <si>
    <t>Item</t>
  </si>
  <si>
    <t>Value</t>
  </si>
  <si>
    <t>Basis</t>
  </si>
  <si>
    <t>IC-01</t>
  </si>
  <si>
    <t>Capital requested, build (one-off)</t>
  </si>
  <si>
    <t>Fifteen costed components, Sheet 3 Part D</t>
  </si>
  <si>
    <t>IC-02</t>
  </si>
  <si>
    <t>Capital requested, fully loaded</t>
  </si>
  <si>
    <t>Build plus a 15 per cent contingency, Sheet 5 RE-04</t>
  </si>
  <si>
    <t>IC-03</t>
  </si>
  <si>
    <t>Annual run cost at steady state</t>
  </si>
  <si>
    <t>Six lines, Sheet 3 Part E</t>
  </si>
  <si>
    <t>IC-04</t>
  </si>
  <si>
    <t>Three-year total cost of ownership</t>
  </si>
  <si>
    <t>Build plus three years of run cost, Sheet 5 Part D</t>
  </si>
  <si>
    <t>All rupee figures in crore unless stated. The build sits with BFDL; the underwriting benefit lands in Bajaj General. Sheet 3 Part I splits every rupee by the entity that books it.</t>
  </si>
  <si>
    <t>2.  THE RETURN</t>
  </si>
  <si>
    <t>Measure</t>
  </si>
  <si>
    <t>Conservative</t>
  </si>
  <si>
    <t>Base</t>
  </si>
  <si>
    <t>Aggressive</t>
  </si>
  <si>
    <t>What it means</t>
  </si>
  <si>
    <t>IC-05</t>
  </si>
  <si>
    <t>Rollout of the addressable book</t>
  </si>
  <si>
    <t>The only lever that separates the three plans.</t>
  </si>
  <si>
    <t>IC-06</t>
  </si>
  <si>
    <t>Net annual benefit, steady state</t>
  </si>
  <si>
    <t>Gross benefit less full annual run cost.</t>
  </si>
  <si>
    <t>IC-07</t>
  </si>
  <si>
    <t>Payback from project kickoff</t>
  </si>
  <si>
    <t>Includes the ten-month build window with no benefit. The figure the deck quotes.</t>
  </si>
  <si>
    <t>IC-08</t>
  </si>
  <si>
    <t>Five-year NPV at 12 per cent</t>
  </si>
  <si>
    <t>Project DCF, Sheet 5 Part B.</t>
  </si>
  <si>
    <t>IC-09</t>
  </si>
  <si>
    <t>Combined ratio impact, Motor OD basis</t>
  </si>
  <si>
    <t>Loss ratio plus expense ratio, against Motor OD earned premium.</t>
  </si>
  <si>
    <t>IC-10</t>
  </si>
  <si>
    <t>Claim TAT, whole Motor OD book</t>
  </si>
  <si>
    <t>Against 9.8 days today. Platform TAT on the rolled-out share.</t>
  </si>
  <si>
    <t>IC-11</t>
  </si>
  <si>
    <t>Cost to serve per claim, after</t>
  </si>
  <si>
    <t>Against Rs 1,750 today, identical across plans.</t>
  </si>
  <si>
    <t>IC-12</t>
  </si>
  <si>
    <t>FTE capacity released</t>
  </si>
  <si>
    <t>Redeployed to complex claims, not removed.</t>
  </si>
  <si>
    <t>3.  THE DOWNSIDE  ·  what has to go wrong, and what is left when it does</t>
  </si>
  <si>
    <t>Case</t>
  </si>
  <si>
    <t>Net annual</t>
  </si>
  <si>
    <t>5-yr NPV</t>
  </si>
  <si>
    <t>Payback, mo</t>
  </si>
  <si>
    <t>What is assumed</t>
  </si>
  <si>
    <t>IC-13</t>
  </si>
  <si>
    <t>As modelled</t>
  </si>
  <si>
    <t>Base plan on published assumptions.</t>
  </si>
  <si>
    <t>IC-14</t>
  </si>
  <si>
    <t>Operating reality misses</t>
  </si>
  <si>
    <t>In-house handling at Rs 83 a touch and five baseline touches.</t>
  </si>
  <si>
    <t>IC-15</t>
  </si>
  <si>
    <t>Fraud disappoints</t>
  </si>
  <si>
    <t>Detection lands at 82 per cent, leakage halves, synthetic incidence quarters.</t>
  </si>
  <si>
    <t>IC-16</t>
  </si>
  <si>
    <t>Adoption drags</t>
  </si>
  <si>
    <t>Rollout 35 per cent, green lane 50 per cent, live-capture friction doubled.</t>
  </si>
  <si>
    <t>IC-17</t>
  </si>
  <si>
    <t>ALL THREE AT ONCE</t>
  </si>
  <si>
    <t>Every one of the above, applied together. Sheet 3 Part L.</t>
  </si>
  <si>
    <t>IC-18</t>
  </si>
  <si>
    <t>Labour only, zero fraud benefit</t>
  </si>
  <si>
    <t>No fraud, gate, synthetic or renewal value at all. Sheet 3 Part H.</t>
  </si>
  <si>
    <t>IC-19</t>
  </si>
  <si>
    <t>INVESTOR GATE  —  five-year NPV positive in every case above?</t>
  </si>
  <si>
    <t>Tested on the correlated case, not on the headline.</t>
  </si>
  <si>
    <t>No single assumption carries this case. Three separate things have to disappoint at the same time before the return compresses materially, and the build still repays even then.</t>
  </si>
  <si>
    <t>4.  EVIDENCE POSITION</t>
  </si>
  <si>
    <t>Check</t>
  </si>
  <si>
    <t>Result</t>
  </si>
  <si>
    <t>Where it is done</t>
  </si>
  <si>
    <t>IC-20</t>
  </si>
  <si>
    <t>Claim frequency implied by the model</t>
  </si>
  <si>
    <t>Sheet 3 Part K. Industry norm is 5 to 15 per cent.</t>
  </si>
  <si>
    <t>IC-21</t>
  </si>
  <si>
    <t>Frequency reconciliation</t>
  </si>
  <si>
    <t>B-01 and B-21 cross-check to an in-band frequency.</t>
  </si>
  <si>
    <t>IC-22</t>
  </si>
  <si>
    <t>Stakeholder split ties to the P&amp;L</t>
  </si>
  <si>
    <t>Sheet 3 W-60. Every rupee is attributed to an entity.</t>
  </si>
  <si>
    <t>IC-23</t>
  </si>
  <si>
    <t>Scenario engine ties to the model</t>
  </si>
  <si>
    <t>Sheet 8 Part A, six anchors.</t>
  </si>
  <si>
    <t>IC-24</t>
  </si>
  <si>
    <t>Net earned premium basis</t>
  </si>
  <si>
    <t>Filed FY2026. Sheet 1 Table P carries three bases; Sheet 3 Part M restates the case on each.</t>
  </si>
  <si>
    <t>IC-25</t>
  </si>
  <si>
    <t>Case on the Motor OD retention basis</t>
  </si>
  <si>
    <t>Sheet 3 Part M. The headline basis is the conservative one.</t>
  </si>
  <si>
    <t>5.  WHAT WE NEED FROM BAJAJ, AND WHAT WE COMMIT TO PROVE</t>
  </si>
  <si>
    <t>Owner</t>
  </si>
  <si>
    <t>Why it matters</t>
  </si>
  <si>
    <t>IC-26</t>
  </si>
  <si>
    <t>Manual touches per claim, and whether handling is in house or BPO</t>
  </si>
  <si>
    <t>Claims operations</t>
  </si>
  <si>
    <t>The two largest levers in the model. Sheet 3 Part L shows the case at the adverse end of both.</t>
  </si>
  <si>
    <t>IC-27</t>
  </si>
  <si>
    <t>Motor OD claim count by ticket band</t>
  </si>
  <si>
    <t>Replaces the Tier 4 average claim size and fixes the claim count directly.</t>
  </si>
  <si>
    <t>IC-28</t>
  </si>
  <si>
    <t>Motor-specific fraud leakage</t>
  </si>
  <si>
    <t>Fraud unit</t>
  </si>
  <si>
    <t>Replaces the health-sector proxy at H-01 with an own-book figure.</t>
  </si>
  <si>
    <t>IC-29</t>
  </si>
  <si>
    <t>Retained claim-media volume, and DPDP reuse position</t>
  </si>
  <si>
    <t>Claims operations and Legal</t>
  </si>
  <si>
    <t>The model values the existing image archive at zero. If it is usable, the build cost falls and the models start from a base no competitor can buy.</t>
  </si>
  <si>
    <t>IC-30</t>
  </si>
  <si>
    <t>Exception-handling capacity today</t>
  </si>
  <si>
    <t>Breakpoint H* on Sheet 10, the constraint most likely to bind first.</t>
  </si>
  <si>
    <t>90-day pilot gate</t>
  </si>
  <si>
    <t>Target</t>
  </si>
  <si>
    <t>Kill criterion</t>
  </si>
  <si>
    <t>IC-31</t>
  </si>
  <si>
    <t>Measured GPU-seconds per claim, in-scope workload</t>
  </si>
  <si>
    <t>Below Sheet 13 breakeven</t>
  </si>
  <si>
    <t>Above it, the GenAI layer is bought rather than self-hosted. Decision rule is already in the model.</t>
  </si>
  <si>
    <t>IC-32</t>
  </si>
  <si>
    <t>Shadow-mode fraud detection against held-out claims</t>
  </si>
  <si>
    <t>82 per cent or better</t>
  </si>
  <si>
    <t>Below 82 per cent, the fraud lines are rebuilt at the achieved rate before any further capital is released.</t>
  </si>
  <si>
    <t>IC-33</t>
  </si>
  <si>
    <t>Green-lane share achieved on live claims</t>
  </si>
  <si>
    <t>50 per cent or better</t>
  </si>
  <si>
    <t>Below 50 per cent, rollout pauses and lane thresholds are recalibrated before Phase 3.</t>
  </si>
  <si>
    <t>IC-34</t>
  </si>
  <si>
    <t>Exception-queue depth and P90 TAT</t>
  </si>
  <si>
    <t>Within claims-operations capacity</t>
  </si>
  <si>
    <t>If P90 TAT deteriorates, rollout holds at the pilot cohort until capacity is added.</t>
  </si>
  <si>
    <t>The pilot converts every Tier 4 input in this model into a measured one, and each gate carries a stated kill criterion. Capital beyond the pilot is released against these gates, not against this page.</t>
  </si>
  <si>
    <t>Claims Pulse</t>
  </si>
  <si>
    <t>Executive Business Case Dashboard</t>
  </si>
  <si>
    <t>Section 1 helper tables</t>
  </si>
  <si>
    <t>Section 2 — Financial Impact</t>
  </si>
  <si>
    <t>Section 3 — Investment Case</t>
  </si>
  <si>
    <t>Section 1 helper tables — STAKEHOLDER IMPACT</t>
  </si>
  <si>
    <t>Scenario</t>
  </si>
  <si>
    <t>Table A — TAT comparison</t>
  </si>
  <si>
    <t>Chart 1 — Annual Benefit Composition</t>
  </si>
  <si>
    <t>Five-Year Cumulative Value Chart</t>
  </si>
  <si>
    <t>Table S1 — Value split by beneficiary (Rs Cr)</t>
  </si>
  <si>
    <t>AI Powered Claims Transformation</t>
  </si>
  <si>
    <t>Transforming  Motor OD Claims | Faster. Smarter. Fraud - Resilient</t>
  </si>
  <si>
    <t>Metric</t>
  </si>
  <si>
    <t>Benefit Component</t>
  </si>
  <si>
    <t>Year</t>
  </si>
  <si>
    <t>Annual Net Cash Flow</t>
  </si>
  <si>
    <t>Cumulative Net Position</t>
  </si>
  <si>
    <t>Beneficiary</t>
  </si>
  <si>
    <t>All values in Rs. Cr unless stated otherwise.</t>
  </si>
  <si>
    <t>Current</t>
  </si>
  <si>
    <t>Labour</t>
  </si>
  <si>
    <t>Year 0</t>
  </si>
  <si>
    <t>Claims operations (expense ratio)</t>
  </si>
  <si>
    <t>ClaimPulse – Selected Scenario</t>
  </si>
  <si>
    <t>Fraud Graph</t>
  </si>
  <si>
    <t>Year 1</t>
  </si>
  <si>
    <t>Underwriting (loss ratio)</t>
  </si>
  <si>
    <t>Synthetic Media</t>
  </si>
  <si>
    <t>Year 2</t>
  </si>
  <si>
    <t>BFDL distribution (renewal)</t>
  </si>
  <si>
    <t>Capture Integrity Gate</t>
  </si>
  <si>
    <t>Year 3</t>
  </si>
  <si>
    <t>Table B — Manual touches</t>
  </si>
  <si>
    <t>Renewal</t>
  </si>
  <si>
    <t>Year 4</t>
  </si>
  <si>
    <t>Table S2 — Claimant impact</t>
  </si>
  <si>
    <t>Friction Cost</t>
  </si>
  <si>
    <t>Year 5</t>
  </si>
  <si>
    <t>Annual vol. at selected scenario</t>
  </si>
  <si>
    <t>ClaimPulse</t>
  </si>
  <si>
    <t>Reduction</t>
  </si>
  <si>
    <t>Benefit</t>
  </si>
  <si>
    <t>From Project Kickoff</t>
  </si>
  <si>
    <t>Improvement vs. Current</t>
  </si>
  <si>
    <t>Current – Whole Book</t>
  </si>
  <si>
    <t>Claimant-days returned per year</t>
  </si>
  <si>
    <t>ClaimPulse – Whole Book</t>
  </si>
  <si>
    <t>Claims auto-settled, zero human touch</t>
  </si>
  <si>
    <t>2. Annual Run Cost — Helper Table</t>
  </si>
  <si>
    <t>Claims still reviewed by a human</t>
  </si>
  <si>
    <t>TAT saved per on-platform claim (days)</t>
  </si>
  <si>
    <t>Table C — Annual manual touches avoided</t>
  </si>
  <si>
    <t>Cost Component</t>
  </si>
  <si>
    <t>Section 4 - Investment P&amp;L</t>
  </si>
  <si>
    <t>Share of book still on 9.8-day journey</t>
  </si>
  <si>
    <t>GPU Compute</t>
  </si>
  <si>
    <t>WHAT THE CLAIMANT GETS</t>
  </si>
  <si>
    <t>CAPACITY RELEASED, NOT HEADCOUNT CUT</t>
  </si>
  <si>
    <t>Current annual touches</t>
  </si>
  <si>
    <t>Storage</t>
  </si>
  <si>
    <t>Helper Table A — Motor OD P&amp;L Bridge</t>
  </si>
  <si>
    <t>Table S3 — Claims workforce</t>
  </si>
  <si>
    <t>After ClaimPulse annual touches</t>
  </si>
  <si>
    <t>MLOps</t>
  </si>
  <si>
    <t>Operations</t>
  </si>
  <si>
    <t>Loss Ratio Improvement</t>
  </si>
  <si>
    <t>Manual touches avoided per year</t>
  </si>
  <si>
    <t>Table D — Claim Lane Mix</t>
  </si>
  <si>
    <t>Security &amp; Compliance</t>
  </si>
  <si>
    <t>Expense Ratio Improvement</t>
  </si>
  <si>
    <t>Claims-handling hours released</t>
  </si>
  <si>
    <t>Legal &amp; Regulatory</t>
  </si>
  <si>
    <t>Motor OD Combined Ratio Improvement</t>
  </si>
  <si>
    <t>Straight through (Green)</t>
  </si>
  <si>
    <t>Total Annual Run Cost</t>
  </si>
  <si>
    <t>Adjuster throughput multiple</t>
  </si>
  <si>
    <t>Complex (Amber)</t>
  </si>
  <si>
    <t>Investigation (Red)</t>
  </si>
  <si>
    <t>3. Financial Bridge</t>
  </si>
  <si>
    <t>Table S4 — Surveyor deployment</t>
  </si>
  <si>
    <t>Table E - Cost per claim</t>
  </si>
  <si>
    <t>Gross Annual Benefit</t>
  </si>
  <si>
    <t>Physical surveys — today</t>
  </si>
  <si>
    <t>Annual Run Cost</t>
  </si>
  <si>
    <t>Physical surveys — ClaimPulse</t>
  </si>
  <si>
    <t>Net Annual Benefit</t>
  </si>
  <si>
    <t>Surveyor visits avoided</t>
  </si>
  <si>
    <t>Table S5 — Governance and moat spend (Rs Cr)</t>
  </si>
  <si>
    <t>Current Cost / Claim</t>
  </si>
  <si>
    <t>Component</t>
  </si>
  <si>
    <t>ClaimPulse Cost / Claim</t>
  </si>
  <si>
    <t>Capture Integrity Gate build</t>
  </si>
  <si>
    <t>Both sides of the combined ratio move. Neither side carries the case alone.</t>
  </si>
  <si>
    <t>Governance, audit and explainability build</t>
  </si>
  <si>
    <t>Rest of the build</t>
  </si>
  <si>
    <t>Annual compliance and legal run cost</t>
  </si>
  <si>
    <t>THE STAKEHOLDER SCORECARD</t>
  </si>
  <si>
    <t>SURVEYORS: REDEPLOYED, NOT DISPLACED</t>
  </si>
  <si>
    <t>Gate + governance as share of build</t>
  </si>
  <si>
    <t>Stakeholder</t>
  </si>
  <si>
    <t>Outcome</t>
  </si>
  <si>
    <t>Table S6 — Who funds vs who books (Rs Cr)</t>
  </si>
  <si>
    <t>Entity</t>
  </si>
  <si>
    <t>Policyholder</t>
  </si>
  <si>
    <t>BFDL — capital deployed (one-off)</t>
  </si>
  <si>
    <t>Bajaj General — annual underwriting value</t>
  </si>
  <si>
    <t>BFDL — annual distribution value</t>
  </si>
  <si>
    <t>Group consolidated net annual benefit</t>
  </si>
  <si>
    <t>Underwriting / CFO</t>
  </si>
  <si>
    <t>Combined ratio improvement, Motor OD</t>
  </si>
  <si>
    <t>Table S7 — What the design costs the people it touches</t>
  </si>
  <si>
    <t>BFDL / Bajaj Markets</t>
  </si>
  <si>
    <t>Distribution income retained</t>
  </si>
  <si>
    <t>Honest claimants downgraded to amber</t>
  </si>
  <si>
    <t>Group leadership</t>
  </si>
  <si>
    <t>Cost we carry (Rs Cr)</t>
  </si>
  <si>
    <t>Friction as share of gross benefit</t>
  </si>
  <si>
    <t>Surveyors</t>
  </si>
  <si>
    <t>Physical survey visits avoided</t>
  </si>
  <si>
    <t>Table S8 — Strategic context (flat, filed)</t>
  </si>
  <si>
    <t>Garages</t>
  </si>
  <si>
    <t>Estimate-to-approval days saved</t>
  </si>
  <si>
    <t>Motor OD premium at risk per 1 pp of share</t>
  </si>
  <si>
    <t>IRDAI / regulator</t>
  </si>
  <si>
    <t>Governance &amp; explainability build spend</t>
  </si>
  <si>
    <t>Annualised Q1 FY27 underwriting loss</t>
  </si>
  <si>
    <t>Share of that loss offset by ClaimPulse</t>
  </si>
  <si>
    <t>Table S9 — Claims-handling hours (Panel 3 source)</t>
  </si>
  <si>
    <t>Hours today</t>
  </si>
  <si>
    <t>Hours after ClaimPulse</t>
  </si>
  <si>
    <t>COST TO SERVE PER CLAIM (₹)</t>
  </si>
  <si>
    <t>ANNUAL MANUAL TOUCHES (WHOLE BOOK)</t>
  </si>
  <si>
    <t>CLAIM LINE MIX (BY VOLUME)</t>
  </si>
  <si>
    <t>ANNUAL BENEFIT COMPOSITION (₹ Cr)</t>
  </si>
  <si>
    <t>Table S10 — Payback ladder (Section 5 chart source)</t>
  </si>
  <si>
    <t>Months</t>
  </si>
  <si>
    <t>From project kickoff (reference, not a bar)</t>
  </si>
  <si>
    <t>Cap applied?</t>
  </si>
  <si>
    <t>INVESTMENT PROFILE</t>
  </si>
  <si>
    <t>Five-Year Cumulative Value</t>
  </si>
  <si>
    <t>ANNUAL VALUE BRIDGE</t>
  </si>
  <si>
    <t>Build Cost</t>
  </si>
  <si>
    <t>Payback from Project Kickoff</t>
  </si>
  <si>
    <t>3-Year NPV</t>
  </si>
  <si>
    <t>5-Year NPV</t>
  </si>
  <si>
    <t>LIVE CHALLENGE LEVERS  ·  type a value, clear the cell to reset</t>
  </si>
  <si>
    <t>THE CASE, RIGHT NOW</t>
  </si>
  <si>
    <t>WHAT WOULD HAVE TO BE TRUE FOR THIS TO FAIL</t>
  </si>
  <si>
    <t>Manual touches per claim today</t>
  </si>
  <si>
    <t>Published 7  ·  B-02, Tier 4, sensitivity register H-04</t>
  </si>
  <si>
    <t>Net annual benefit</t>
  </si>
  <si>
    <t>Cost per manual touch (₹)</t>
  </si>
  <si>
    <t>Published 300 / 250 / 200 by plan  ·  C-02, sensitivity register H-03</t>
  </si>
  <si>
    <t>Fraud precision target</t>
  </si>
  <si>
    <t>Published 90%  ·  B-14, a TARGET not a capability</t>
  </si>
  <si>
    <t>Payback, realistic downside</t>
  </si>
  <si>
    <t>Average claim size (₹)</t>
  </si>
  <si>
    <t>Published 45,000  ·  B-01, Tier 4, sensitivity register H-08</t>
  </si>
  <si>
    <t>Motor OD combined ratio</t>
  </si>
  <si>
    <t>ClaimPulse  ·  Navigation</t>
  </si>
  <si>
    <t>Team Finsighters · NMIMS Mumbai · PS_BFDL Motor Insurance Claims TAT Reduction.  Fifteen tabs. Click any tab name below to jump to it. Start at Sheet 0.</t>
  </si>
  <si>
    <t>THE ONE-LINE VERSION.  A Rs 9.89 Cr build returns Rs 43.31 Cr a year at the Base plan, repays from project kickoff in 16.8 months, moves the Motor OD combined ratio by 2.58 pp, and stays NPV positive even when the operating, fraud and adoption assumptions all miss at the same time.</t>
  </si>
  <si>
    <t>HOW IT IS BUILT.  Sheet 1 holds every input with a source and an evidence tier. Sheets 2 to 6 are pure formula and contain no typed numbers. Sheets 7 to 13 carry the evidence base, the stress testing and the architecture decisions. Sheet 0 is the one page an investment committee reads.</t>
  </si>
  <si>
    <t>THE MODEL  ·  the numbers, and how they are produced</t>
  </si>
  <si>
    <t>Tab</t>
  </si>
  <si>
    <t>What it is</t>
  </si>
  <si>
    <t>What you will find here</t>
  </si>
  <si>
    <t>Go here first for</t>
  </si>
  <si>
    <t>Dashboard</t>
  </si>
  <si>
    <t>The one-page investor view</t>
  </si>
  <si>
    <t>Headline KPIs, the stakeholder scorecard, five-year cumulative value, and LIVE CHALLENGE LEVERS where you can type a value and watch the model move</t>
  </si>
  <si>
    <t>A five-minute read of the whole case</t>
  </si>
  <si>
    <t>1. Assumptions and Sources</t>
  </si>
  <si>
    <t>Every input, every source</t>
  </si>
  <si>
    <t>Every input with a source and an evidence tier. Table G sets out how each line is constructed. Table H and Table N are the sensitivity register: which inputs move the answer and how each is validated. Table P carries three net-earned-premium bases; Table Q carries the rates that change inside the window.</t>
  </si>
  <si>
    <t>Checking whether a number is defensible</t>
  </si>
  <si>
    <t>2. Summary</t>
  </si>
  <si>
    <t>The headline figures</t>
  </si>
  <si>
    <t>19 headline metrics across Conservative, Base and Aggressive. Where the benefit comes from, line by line. The 24 self-audit integrity checks</t>
  </si>
  <si>
    <t>The investment case on one screen</t>
  </si>
  <si>
    <t>3. Workings</t>
  </si>
  <si>
    <t>The engine</t>
  </si>
  <si>
    <t>The full chain from filed premium to net benefit. Part G is the insurance P&amp;L bridge, Part H the downside tests, Part J the break-even analysis, Part K the claim-frequency reconciliation, Part L the correlated stress test, Part M the same case on three net-earned-premium bases.</t>
  </si>
  <si>
    <t>Understanding how a number was derived</t>
  </si>
  <si>
    <t>4. Forecast</t>
  </si>
  <si>
    <t>Three-year view</t>
  </si>
  <si>
    <t>Year by year benefit, cost and cumulative position on the ramp convention</t>
  </si>
  <si>
    <t>The multi-year picture</t>
  </si>
  <si>
    <t>5. Investor Metrics</t>
  </si>
  <si>
    <t>Return metrics</t>
  </si>
  <si>
    <t>NPV, IRR, ROIC, EVA and the unit economics block</t>
  </si>
  <si>
    <t>Anything an investment committee asks</t>
  </si>
  <si>
    <t>6. Stakeholder Analysis</t>
  </si>
  <si>
    <t>Who gets what</t>
  </si>
  <si>
    <t>Quantified value split by stakeholder, every row a formula reading the P&amp;L</t>
  </si>
  <si>
    <t>Who benefits, and who carries a cost</t>
  </si>
  <si>
    <t>0. Investment Committee</t>
  </si>
  <si>
    <t>The one page that decides</t>
  </si>
  <si>
    <t>The ask, the return across all three plans, the correlated downside, the evidence position, the five data requests and the four pilot gates with their kill criteria. Every figure is live from the model behind it.</t>
  </si>
  <si>
    <t>Reading the case in two minutes</t>
  </si>
  <si>
    <t>THE RESEARCH  ·  what could change, and what we would do about it</t>
  </si>
  <si>
    <t>7. Trend Analysis</t>
  </si>
  <si>
    <t>The evidence base</t>
  </si>
  <si>
    <t>Twenty-one trends, each with a named publisher, a date and an evidence class. The four-domain trend vector map. The evidence gaps, carried openly with the handling for each. A full evidence-class summary.</t>
  </si>
  <si>
    <t>Where a fact came from, and whether it holds</t>
  </si>
  <si>
    <t>8. Scenario Simulation</t>
  </si>
  <si>
    <t>Stress testing</t>
  </si>
  <si>
    <t>A live engine check that must tie before anything below it counts. Five scenarios at three intensities, all computed live from the engine. The correlated stress test sits at Sheet 3 Part L. Cross-domain synthesis and the scenario library.</t>
  </si>
  <si>
    <t>What breaks the case, and what does not</t>
  </si>
  <si>
    <t>9. Landscape Impact</t>
  </si>
  <si>
    <t>The wider consequence</t>
  </si>
  <si>
    <t>All 17 scenarios across eight landscape dimensions, grouped into eight themes: market structure, ecosystem, regulation, business model, capital, talent, moat and demand</t>
  </si>
  <si>
    <t>What each scenario does beyond the P&amp;L</t>
  </si>
  <si>
    <t>10. Resilience and Breakpoints</t>
  </si>
  <si>
    <t>Where it stops working</t>
  </si>
  <si>
    <t>Nine named breakpoints, five computable today. Three resilience dimensions reported separately, never averaged. Component dependency matrix. What each severity grade means, and how the platform repurposes at the worst one</t>
  </si>
  <si>
    <t>The honest limits of the case</t>
  </si>
  <si>
    <t>11. Strategy and Early Warning</t>
  </si>
  <si>
    <t>The response</t>
  </si>
  <si>
    <t>Strategic response per scenario, quarterly indicators to monitor, the management question for each, ten driver-interaction mechanisms, and a 31-metric KPI framework across seven layers</t>
  </si>
  <si>
    <t>What management should do, and watch</t>
  </si>
  <si>
    <t>SUGGESTED READING PATH</t>
  </si>
  <si>
    <t>1.</t>
  </si>
  <si>
    <t>Sheet 0 Investment Committee. That is the case. Sheet 2 Summary if you want the same thing with more lines.</t>
  </si>
  <si>
    <t>2.</t>
  </si>
  <si>
    <t>Sheet 8 Part A. Confirm the six engine anchors tie before trusting any scenario number below them.</t>
  </si>
  <si>
    <t>3.</t>
  </si>
  <si>
    <t>Sheet 3 Part L. The correlated downside: what is left when the operating, fraud and adoption assumptions all miss together.</t>
  </si>
  <si>
    <t>4.</t>
  </si>
  <si>
    <t>Sheet 1 Table H. The sensitivity register: which assumptions move the answer, and how each is validated.</t>
  </si>
  <si>
    <t>5.</t>
  </si>
  <si>
    <t>Sheet 10 Part A. The nine breakpoints, including the one the pilot is designed to measure first.</t>
  </si>
  <si>
    <t>6.</t>
  </si>
  <si>
    <t>Sheets 7, 9, 10 and 11 as reference, when a specific trend, consequence, breakpoint or response is queried.</t>
  </si>
  <si>
    <t>THREE THINGS TO KNOW BEFORE QUOTING A NUMBER</t>
  </si>
  <si>
    <t>Combined ratio is reported on two bases and they are not interchangeable. 2.58 pp on a Motor OD basis is 0.42 pp on the group book. Never subtract the Motor OD figure from a group combined ratio.</t>
  </si>
  <si>
    <t>Payback from project kickoff, Sheet 4 FS-05, is the figure the deck quotes. It includes the ten-month build window. The steady-state figure on Sheet 3 Part F is shorter because it excludes that window.</t>
  </si>
  <si>
    <t>Net earned premium runs on the filed FY2026 basis. Sheet 1 Table P and Sheet 3 Part M carry the other two bases; the case is stronger on the Motor OD retention basis, so the headline is the conservative one.</t>
  </si>
  <si>
    <t>Sheet numbering on this page matches the tab names exactly. Sheets 12 and 13 sit below because they were added as the cost and architecture annexures.</t>
  </si>
  <si>
    <t>12. Cost Architecture</t>
  </si>
  <si>
    <t>Where the money goes</t>
  </si>
  <si>
    <t>The full build and run cost stack, the nine decisions taken to reduce it, fixed versus variable ceiling, build-versus-buy on verified vendor rates, and the unpriced value of Bajaj's historical claim-image archive</t>
  </si>
  <si>
    <t>Any question about cost, efficiency or AI spend</t>
  </si>
  <si>
    <t>13. GenAI Build vs Buy</t>
  </si>
  <si>
    <t>The architecture decision</t>
  </si>
  <si>
    <t>Incremental five-year cost of adding generative AI via API versus self-hosting, with the baseline conventional-ML and moat layers netted out. Part G re-runs the decision on the rate card that applies from 1 September 2026.</t>
  </si>
  <si>
    <t>Whether to buy or build the GenAI layer</t>
  </si>
  <si>
    <t>ClaimPulse  ·  Assumptions and Sources</t>
  </si>
  <si>
    <t>Team Finsighters · NMIMS Mumbai · PS_BFDL Motor Insurance Claims TAT Reduction.  Every input lives here. Sheets 1 to 3 contain no typed numbers, only formulas that read this sheet.</t>
  </si>
  <si>
    <t xml:space="preserve">  TABLE A  —  FILED AND EXTERNAL DATA</t>
  </si>
  <si>
    <t>Unit</t>
  </si>
  <si>
    <t>Tier</t>
  </si>
  <si>
    <t>Source</t>
  </si>
  <si>
    <t>A-01</t>
  </si>
  <si>
    <t>Motor OD GDPI, FY2025-26</t>
  </si>
  <si>
    <t>Rs Cr</t>
  </si>
  <si>
    <t>TIER 1 FILED</t>
  </si>
  <si>
    <t>GI Council segment-wise GDPI filings, Jun'25-Jun'26</t>
  </si>
  <si>
    <t>A-02</t>
  </si>
  <si>
    <t>Net earned premium / GDPI</t>
  </si>
  <si>
    <t>ratio</t>
  </si>
  <si>
    <t>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t>
  </si>
  <si>
    <t>A-03</t>
  </si>
  <si>
    <t>Net incurred claims ratio</t>
  </si>
  <si>
    <t>IRDAI Financial Highlights FY24-25, up 0.8 pp</t>
  </si>
  <si>
    <t>A-04</t>
  </si>
  <si>
    <t>Group combined ratio, FY2024-25</t>
  </si>
  <si>
    <t>Crossed 100%, was 99.85% a year earlier</t>
  </si>
  <si>
    <t>A-05</t>
  </si>
  <si>
    <t>Bajaj total GDPI, FY2025-26</t>
  </si>
  <si>
    <t>Motor is Rs 7,278 Cr, 35.6% of the book</t>
  </si>
  <si>
    <t>A-06</t>
  </si>
  <si>
    <t>Motor OD market growth p.a.</t>
  </si>
  <si>
    <t>TIER 2</t>
  </si>
  <si>
    <t>Motor sector research</t>
  </si>
  <si>
    <t>A-07</t>
  </si>
  <si>
    <t>Salary inflation p.a.</t>
  </si>
  <si>
    <t>TIER 1</t>
  </si>
  <si>
    <t>India talent outlook 2026</t>
  </si>
  <si>
    <t>A-08</t>
  </si>
  <si>
    <t>FX rate</t>
  </si>
  <si>
    <t>Rs / USD</t>
  </si>
  <si>
    <t>Market</t>
  </si>
  <si>
    <t>Spot, August 2026</t>
  </si>
  <si>
    <t>A-09</t>
  </si>
  <si>
    <t>Discount rate (WACC)</t>
  </si>
  <si>
    <t>Standard</t>
  </si>
  <si>
    <t>Indian corporate project hurdle rate</t>
  </si>
  <si>
    <t>A-10</t>
  </si>
  <si>
    <t>India regulated-sector cost uplift</t>
  </si>
  <si>
    <t>x</t>
  </si>
  <si>
    <t>Compliance overhead applied to USD build benchmarks</t>
  </si>
  <si>
    <t>A-11</t>
  </si>
  <si>
    <t>IRDAI surveyor exemption threshold</t>
  </si>
  <si>
    <t>Rs</t>
  </si>
  <si>
    <t>Master Circular on Protection of Policyholders' Interests, 2024</t>
  </si>
  <si>
    <t>A-12</t>
  </si>
  <si>
    <t>API / inference price deflation p.a.</t>
  </si>
  <si>
    <t>Conservative end of a 30-50% observed range</t>
  </si>
  <si>
    <t>A-13</t>
  </si>
  <si>
    <t>GPU price deflation p.a.</t>
  </si>
  <si>
    <t>Deflation slowing after a steep fall from peak</t>
  </si>
  <si>
    <t xml:space="preserve">  TABLE B  —  OPERATING ASSUMPTIONS</t>
  </si>
  <si>
    <t>Assumption</t>
  </si>
  <si>
    <t>B-01</t>
  </si>
  <si>
    <t>Average claim size</t>
  </si>
  <si>
    <t>TIER 4</t>
  </si>
  <si>
    <t>Conservative, and sits inside the Rs 50,000 surveyor corridor. A lower figure would mean more claims and more benefit.</t>
  </si>
  <si>
    <t>B-02</t>
  </si>
  <si>
    <t>touches</t>
  </si>
  <si>
    <t>Workflow mapping. The largest single driver of the labour line, and confirmed by data request 1.</t>
  </si>
  <si>
    <t>B-03</t>
  </si>
  <si>
    <t>Green lane share</t>
  </si>
  <si>
    <t>Auto-settle. Clean docs, intact EXIF, no synthetic flags.</t>
  </si>
  <si>
    <t>B-04</t>
  </si>
  <si>
    <t>Amber lane share</t>
  </si>
  <si>
    <t>Signals inconclusive, not contradictory. One reviewer.</t>
  </si>
  <si>
    <t>B-05</t>
  </si>
  <si>
    <t>Red lane share</t>
  </si>
  <si>
    <t>Hard contradiction at the capture gate. Investigate.</t>
  </si>
  <si>
    <t>B-06</t>
  </si>
  <si>
    <t>Touches, green lane</t>
  </si>
  <si>
    <t>Zero human touch in practice</t>
  </si>
  <si>
    <t>B-07</t>
  </si>
  <si>
    <t>Touches, amber lane</t>
  </si>
  <si>
    <t>One reviewer on an AI-prepared file</t>
  </si>
  <si>
    <t>B-08</t>
  </si>
  <si>
    <t>Touches, red lane</t>
  </si>
  <si>
    <t>Investigation with evidence pack pre-attached</t>
  </si>
  <si>
    <t>B-09</t>
  </si>
  <si>
    <t>Claim TAT today</t>
  </si>
  <si>
    <t>days</t>
  </si>
  <si>
    <t>Industry-typical 7-10+ days for non-complex motor claims</t>
  </si>
  <si>
    <t>B-10</t>
  </si>
  <si>
    <t>TAT, green lane</t>
  </si>
  <si>
    <t>Auto-settlement</t>
  </si>
  <si>
    <t>B-11</t>
  </si>
  <si>
    <t>TAT, amber lane</t>
  </si>
  <si>
    <t>Single assisted review</t>
  </si>
  <si>
    <t>B-12</t>
  </si>
  <si>
    <t>TAT, red lane</t>
  </si>
  <si>
    <t>Full investigation, still faster than today</t>
  </si>
  <si>
    <t>B-13</t>
  </si>
  <si>
    <t>Fraud detection rate (recall), today</t>
  </si>
  <si>
    <t>Share of fraudulent claims the existing rule-based engine currently catches.</t>
  </si>
  <si>
    <t>B-14</t>
  </si>
  <si>
    <t>Fraud detection rate (recall), TARGET</t>
  </si>
  <si>
    <t>TARGET</t>
  </si>
  <si>
    <t>A target for the share of fraudulent claims caught. Published graph-AI lift runs +10 to 20 pp against the +28 pp modelled here, which is why F-02 tests an 82% landing and Sheet 8 runs the full curve.</t>
  </si>
  <si>
    <t>B-15</t>
  </si>
  <si>
    <t>of the uplift, from the Capture Integrity Gate</t>
  </si>
  <si>
    <t>pp</t>
  </si>
  <si>
    <t>EXIF and metadata contradiction catches crude attempts at intake, before any model runs.</t>
  </si>
  <si>
    <t>B-16</t>
  </si>
  <si>
    <t>of the uplift, from the fraud and duplicate graph</t>
  </si>
  <si>
    <t>Graph engine catches rings: same garage, vehicle, 3 claims in 30 days.</t>
  </si>
  <si>
    <t>B-17</t>
  </si>
  <si>
    <t>Fraud leakage pool, % of claims value</t>
  </si>
  <si>
    <t>TIER 2 PROXY</t>
  </si>
  <si>
    <t>Derived from the 8 to 10 per cent industry fraud and waste benchmark, applied to motor as a proxy. See H-01.</t>
  </si>
  <si>
    <t>B-18</t>
  </si>
  <si>
    <t>Synthetic-media fraud, % of claims value</t>
  </si>
  <si>
    <t>Forward-looking. A NEW vector, so additive to B-17 rather than inside it. Sensitivity 0.5% to 2.0%.</t>
  </si>
  <si>
    <t>B-19</t>
  </si>
  <si>
    <t>Gate detection rate on synthetic media</t>
  </si>
  <si>
    <t>Diffusion and GAN artefact screening on live-captured frames</t>
  </si>
  <si>
    <t>B-20</t>
  </si>
  <si>
    <t>Live-capture friction: claims downgraded</t>
  </si>
  <si>
    <t>Honest claimants who cannot use live capture drop from green to amber. A real cost of the hard rule.</t>
  </si>
  <si>
    <t>B-21</t>
  </si>
  <si>
    <t>Average Motor OD premium per policy</t>
  </si>
  <si>
    <t>Used only to size the renewal line</t>
  </si>
  <si>
    <t>B-22</t>
  </si>
  <si>
    <t>Renewal uplift on claimants</t>
  </si>
  <si>
    <t>Applied to the claimant cohort ONLY, not the whole book. The whole-book NPS effect is not counted.</t>
  </si>
  <si>
    <t>B-23</t>
  </si>
  <si>
    <t>Retained value on premium</t>
  </si>
  <si>
    <t>Distribution commission and margin retained within the group</t>
  </si>
  <si>
    <t>B-24</t>
  </si>
  <si>
    <t>Benefit realisation, Year 1</t>
  </si>
  <si>
    <t>Plan</t>
  </si>
  <si>
    <t>Rollout, touch reduction and fraud precision all still ramping</t>
  </si>
  <si>
    <t>B-25</t>
  </si>
  <si>
    <t>Benefit realisation, Year 2</t>
  </si>
  <si>
    <t>Approaching steady state</t>
  </si>
  <si>
    <t>B-26</t>
  </si>
  <si>
    <t>Benefit realisation, Year 3</t>
  </si>
  <si>
    <t>Steady state</t>
  </si>
  <si>
    <t>B-27</t>
  </si>
  <si>
    <t>Build duration</t>
  </si>
  <si>
    <t>months</t>
  </si>
  <si>
    <t>P1 to P4 per the implementation roadmap. Benefit accrues after go-live.</t>
  </si>
  <si>
    <t>B-28</t>
  </si>
  <si>
    <t>Risk haircut on net benefit</t>
  </si>
  <si>
    <t>Probability-weighted across execution, model, adoption, regulatory and competitive risk</t>
  </si>
  <si>
    <t>Cost per manual touch, BASELINE (today)</t>
  </si>
  <si>
    <t>The rate the current process runs at. Held constant across all three plans, because the baseline does not change with the rollout chosen. The volume discounts at C-02 apply only to touches performed after go-live.</t>
  </si>
  <si>
    <t xml:space="preserve">  TABLE C  —  THE THREE IMPLEMENTATION PLANS</t>
  </si>
  <si>
    <t>Lever</t>
  </si>
  <si>
    <t>C-01</t>
  </si>
  <si>
    <t>Rollout of the addressable Motor OD book</t>
  </si>
  <si>
    <t>C-02</t>
  </si>
  <si>
    <t>Cost per manual touch</t>
  </si>
  <si>
    <t>C-01 and C-02 are the only differences between the plans. Cost per touch falls as volume rises (BPO volume discounts) and applies to post-implementation touches only; the baseline is fixed at B-28. Build cost is identical in all three, because the same system is built.</t>
  </si>
  <si>
    <t xml:space="preserve">  TABLE D  —  BUILD COST BENCHMARKS  ·  one-off, identical in all three plans</t>
  </si>
  <si>
    <t>USD benchmark</t>
  </si>
  <si>
    <t>Rs direct</t>
  </si>
  <si>
    <t>Phase</t>
  </si>
  <si>
    <t>D-01</t>
  </si>
  <si>
    <t>Document AI, OCR and field extraction</t>
  </si>
  <si>
    <t>P1</t>
  </si>
  <si>
    <t>Vendor NLP extraction band $20-45K</t>
  </si>
  <si>
    <t>D-02</t>
  </si>
  <si>
    <t>Policy validation, RAG on actual wording</t>
  </si>
  <si>
    <t>Vendor RAG build band $20-60K</t>
  </si>
  <si>
    <t>D-03</t>
  </si>
  <si>
    <t>EXIF and metadata forensics engine</t>
  </si>
  <si>
    <t>CAPTURE INTEGRITY GATE. Rules-based, zero model training.</t>
  </si>
  <si>
    <t>D-04</t>
  </si>
  <si>
    <t>Synthetic and tampered image screening</t>
  </si>
  <si>
    <t>P2</t>
  </si>
  <si>
    <t>CAPTURE INTEGRITY GATE. The moat. Diffusion and GAN artefact classifier tuned on own media.</t>
  </si>
  <si>
    <t>D-05</t>
  </si>
  <si>
    <t>Guided live-capture SDK, gallery disabled</t>
  </si>
  <si>
    <t>CAPTURE INTEGRITY GATE. The hard rule that makes the other two checks reliable.</t>
  </si>
  <si>
    <t>D-06</t>
  </si>
  <si>
    <t>CV damage assessment, 360 video and depth</t>
  </si>
  <si>
    <t>Two independent sources, $80-180K band</t>
  </si>
  <si>
    <t>D-07</t>
  </si>
  <si>
    <t>Repair cost estimation engine</t>
  </si>
  <si>
    <t>Settled claims plus live parts feeds. Garage APIs.</t>
  </si>
  <si>
    <t>D-08</t>
  </si>
  <si>
    <t>Fraud and duplicate graph engine</t>
  </si>
  <si>
    <t>P3</t>
  </si>
  <si>
    <t>Two sources, $80-100K real-time financial fraud</t>
  </si>
  <si>
    <t>D-09</t>
  </si>
  <si>
    <t>Trust Score orchestration core</t>
  </si>
  <si>
    <t>P4</t>
  </si>
  <si>
    <t>Multi-model parallel orchestration, $150-300K band</t>
  </si>
  <si>
    <t>D-10</t>
  </si>
  <si>
    <t>Production hardening</t>
  </si>
  <si>
    <t>40% of orchestration. Audit trail, human override, rollback, explainability.</t>
  </si>
  <si>
    <t>D-11</t>
  </si>
  <si>
    <t>Claimant, surveyor and garage consoles</t>
  </si>
  <si>
    <t>Submission, tracking, proactive status push</t>
  </si>
  <si>
    <t>D-12</t>
  </si>
  <si>
    <t>Systems integration</t>
  </si>
  <si>
    <t>Cross</t>
  </si>
  <si>
    <t>VAHAN, garage, policy DB, payment, CRM, surveyor, WhatsApp, mobile. No published benchmark exists; an SI quote is a pre-build gate.</t>
  </si>
  <si>
    <t>D-13</t>
  </si>
  <si>
    <t>Training data: labelled damage and synthetic set</t>
  </si>
  <si>
    <t>CAPTURE INTEGRITY GATE. Real Indian damage media plus generated fakes to train the classifier.</t>
  </si>
  <si>
    <t>D-14</t>
  </si>
  <si>
    <t>Model QC and UAT window</t>
  </si>
  <si>
    <t>Shadow to canary to gradual, plus model-output quality assurance</t>
  </si>
  <si>
    <t>D-15</t>
  </si>
  <si>
    <t>Security, DPDP and SOC2 setup</t>
  </si>
  <si>
    <t>India pentest, SOC2 tooling, compliance engineering. One-off, separate from ongoing monitoring.</t>
  </si>
  <si>
    <t xml:space="preserve">  TABLE E  —  RUN COST INPUTS</t>
  </si>
  <si>
    <t>E-01</t>
  </si>
  <si>
    <t>GPU hours per claim</t>
  </si>
  <si>
    <t>hours</t>
  </si>
  <si>
    <t>2 min per 10 sec of 1080p x 40 sec of claim video</t>
  </si>
  <si>
    <t>E-02</t>
  </si>
  <si>
    <t>GPU peak-to-average multiplier</t>
  </si>
  <si>
    <t>1.5x sourced floor, uplifted because claims cluster</t>
  </si>
  <si>
    <t>E-03</t>
  </si>
  <si>
    <t>GPU safety margin</t>
  </si>
  <si>
    <t>Capacity headroom</t>
  </si>
  <si>
    <t>E-04</t>
  </si>
  <si>
    <t>GPU rate</t>
  </si>
  <si>
    <t>USD / hour</t>
  </si>
  <si>
    <t>Commodity inference GPU</t>
  </si>
  <si>
    <t>E-05</t>
  </si>
  <si>
    <t>Storage per claim</t>
  </si>
  <si>
    <t>USD</t>
  </si>
  <si>
    <t>Image and video retention</t>
  </si>
  <si>
    <t>E-06</t>
  </si>
  <si>
    <t>Storage replication multiplier</t>
  </si>
  <si>
    <t>Replication and backup</t>
  </si>
  <si>
    <t>E-07</t>
  </si>
  <si>
    <t>MLOps tooling</t>
  </si>
  <si>
    <t>USD / month</t>
  </si>
  <si>
    <t>Midpoint of a $4,200-10,000 published range</t>
  </si>
  <si>
    <t>E-08</t>
  </si>
  <si>
    <t>Operations team</t>
  </si>
  <si>
    <t>Rs / month</t>
  </si>
  <si>
    <t>Senior 100% + mid 50% + model QC 30% + PM 20%, India domestic bands</t>
  </si>
  <si>
    <t>E-09</t>
  </si>
  <si>
    <t>Security and compliance monitoring</t>
  </si>
  <si>
    <t>Rs 25L p.a. ongoing. Distinct from the D-15 one-off setup.</t>
  </si>
  <si>
    <t>E-10</t>
  </si>
  <si>
    <t>Legal and regulatory counsel</t>
  </si>
  <si>
    <t>DPDP and IRDAI scope, priced at India counsel rates.</t>
  </si>
  <si>
    <t xml:space="preserve">  TABLE F  —  DOWNSIDE TEST INPUTS  ·  used only in the sensitivity block on Sheet 3</t>
  </si>
  <si>
    <t>Why this row exists</t>
  </si>
  <si>
    <t>F-01</t>
  </si>
  <si>
    <t>In-house cost per manual touch</t>
  </si>
  <si>
    <t>Rs 250 is BPO per-transaction pricing. If claims handling sits with salaried in-house staff the marginal cost is far lower. This tests the case at that rate.</t>
  </si>
  <si>
    <t>F-02</t>
  </si>
  <si>
    <t>Fraud detection rate, downside landing</t>
  </si>
  <si>
    <t>Tests the case with the 90% detection target landing at 82%.</t>
  </si>
  <si>
    <t xml:space="preserve">  TABLE G  —  BASIS OF PREPARATION  ·  how each cost and benefit line is constructed</t>
  </si>
  <si>
    <t>Convention applied</t>
  </si>
  <si>
    <t>Where it lands</t>
  </si>
  <si>
    <t>Why it is built this way</t>
  </si>
  <si>
    <t>Spot, Rs 95.3 / USD</t>
  </si>
  <si>
    <t>Every USD-benchmarked build line</t>
  </si>
  <si>
    <t>Spot as at August 2026, inside the 94.89 to 95.45 range traded in the week to 11 August. Marginally conservative.</t>
  </si>
  <si>
    <t>Build cost</t>
  </si>
  <si>
    <t>Bottom-up, fifteen costed components</t>
  </si>
  <si>
    <t>Sheet 3 Part D</t>
  </si>
  <si>
    <t>Every layer carries its own line, including the Capture Integrity Gate, repair estimation, the consoles, training data, systems integration and security setup. The gate is the single largest block, which is right, because it is the moat.</t>
  </si>
  <si>
    <t>Run cost</t>
  </si>
  <si>
    <t>Bottom-up, six lines</t>
  </si>
  <si>
    <t>Sheet 3 Part E</t>
  </si>
  <si>
    <t>GPU, storage, MLOps tooling, operations team, security monitoring and legal counsel. Two lines scale with volume; four are fixed.</t>
  </si>
  <si>
    <t>Fraud benefit</t>
  </si>
  <si>
    <t>Leakage pool x reduction in the UNDETECTED share</t>
  </si>
  <si>
    <t>Sheet 3 Part C</t>
  </si>
  <si>
    <t>Detection lift applies to the undetected share. Moving detection from 62% to 90% cuts the undetected share from 38% to 10%, a 73.7% reduction in residual leakage.</t>
  </si>
  <si>
    <t>Surveyor exemption threshold</t>
  </si>
  <si>
    <t>Rs 50,000</t>
  </si>
  <si>
    <t>Lane design and Sheet 3 Part I</t>
  </si>
  <si>
    <t>Master Circular on Protection of Policyholders’ Interests, 2024, confirmed to Parliament in December 2025.</t>
  </si>
  <si>
    <t>Costed in build lines D-03 to D-05 and D-13, valued in benefit lines W-20 and W-21</t>
  </si>
  <si>
    <t>Sheets 1, 3 and 5</t>
  </si>
  <si>
    <t>The moat carries both its cost and its value inside the model rather than sitting on a slide.</t>
  </si>
  <si>
    <t>TAT</t>
  </si>
  <si>
    <t>Lane-weighted, and restated after live-capture friction</t>
  </si>
  <si>
    <t>Sheet 3 Part B</t>
  </si>
  <si>
    <t>The problem statement is TAT reduction, so TAT is a modelled output on every sheet.</t>
  </si>
  <si>
    <t xml:space="preserve">  TABLE H  —  ASSUMPTION SENSITIVITY REGISTER  ·  which inputs move the answer, and how each is validated</t>
  </si>
  <si>
    <t>Direction of bias</t>
  </si>
  <si>
    <t>Validation route</t>
  </si>
  <si>
    <t>W-01</t>
  </si>
  <si>
    <t>The fraud leakage pool derives from a life and health benchmark, applied to motor as a proxy</t>
  </si>
  <si>
    <t>Ambiguous. The 8 to 10 per cent benchmark is already net of existing controls, so a literal reading gives a LARGER benefit, not smaller.</t>
  </si>
  <si>
    <t>Motor-specific leakage from Bajaj’s own fraud unit. Data request 2.</t>
  </si>
  <si>
    <t>W-02</t>
  </si>
  <si>
    <t>90 per cent fraud detection is a target rather than a demonstrated capability</t>
  </si>
  <si>
    <t>Optimistic. F-02 lands it at 82 per cent and Sheet 8 runs the full curve to 62 per cent.</t>
  </si>
  <si>
    <t>Shadow-mode results against held-out historical claims at the UAT gate. Pilot gate 3.</t>
  </si>
  <si>
    <t>W-03</t>
  </si>
  <si>
    <t>Rs 250 per touch is BPO transaction pricing, applied to a process that may be handled in house</t>
  </si>
  <si>
    <t>Optimistic if handling is in house. F-01 tests the case at Rs 83 and it still clears.</t>
  </si>
  <si>
    <t>Confirmation of the claims-operations delivery model plus a time-and-motion study. Data request 3.</t>
  </si>
  <si>
    <t>W-04</t>
  </si>
  <si>
    <t>Seven manual touches per claim is a workflow-mapped estimate</t>
  </si>
  <si>
    <t>The largest single driver of the labour line. Part J shows the case survives down to 2.2 touches.</t>
  </si>
  <si>
    <t>One session with Bajaj claims operations. Data request 1.</t>
  </si>
  <si>
    <t>W-05</t>
  </si>
  <si>
    <t>Synthetic-media incidence at 1 per cent of claims value is forward looking</t>
  </si>
  <si>
    <t>No published incidence exists, because the vector is new. Sensitivity 0.5 to 2.0 per cent.</t>
  </si>
  <si>
    <t>Pilot instrumentation. ClaimPulse would be the first system to measure it.</t>
  </si>
  <si>
    <t>W-06</t>
  </si>
  <si>
    <t>Renewal uplift uses an assumed elasticity on the claimant cohort only</t>
  </si>
  <si>
    <t>Conservative. The whole-book NPS effect is not counted at all.</t>
  </si>
  <si>
    <t>Policyholder survey plus renewal telemetry from month one.</t>
  </si>
  <si>
    <t>W-07</t>
  </si>
  <si>
    <t>The benefit pool is Bajaj General’s; the platform is built by BFDL</t>
  </si>
  <si>
    <t>Neutral at group level, since Bajaj Finserv consolidates both. Sheet 3 Part I splits it explicitly.</t>
  </si>
  <si>
    <t>A group-capability framing and an internal transfer arrangement.</t>
  </si>
  <si>
    <t>W-08</t>
  </si>
  <si>
    <t>Average claim size of Rs 45,000 is a Tier 4 input</t>
  </si>
  <si>
    <t>Conservative as set. A lower average means more claims and more benefit. Part K reconciles it to an in-band claim frequency.</t>
  </si>
  <si>
    <t>Bajaj’s Motor OD claim count by ticket band. Data request 4.</t>
  </si>
  <si>
    <t xml:space="preserve">  TABLE I  —  ADDITIONAL INVESTOR INPUTS</t>
  </si>
  <si>
    <t>I-01</t>
  </si>
  <si>
    <t>Net incurred claim ratio movement, Q1 FY27 vs Q1 FY26</t>
  </si>
  <si>
    <t>Bajaj Finserv Q1 FY2027 results: 74.3% against 71.1%. Sizes the cost of holding the current cost to serve while motor pricing stays soft.</t>
  </si>
  <si>
    <t>I-02</t>
  </si>
  <si>
    <t>Capital contingency on build cost</t>
  </si>
  <si>
    <t>Applied for the fully-loaded capital view</t>
  </si>
  <si>
    <t>I-03</t>
  </si>
  <si>
    <t>3-year horizon for total cost of ownership</t>
  </si>
  <si>
    <t>years</t>
  </si>
  <si>
    <t>Matches the Sheet 4 forecast window</t>
  </si>
  <si>
    <t xml:space="preserve">  TABLE J  —  STAKEHOLDER IMPACT INPUTS  ·  used only by the Section 1 stakeholder panel</t>
  </si>
  <si>
    <t>J-01</t>
  </si>
  <si>
    <t>Minutes per manual touch</t>
  </si>
  <si>
    <t>minutes</t>
  </si>
  <si>
    <t>Team workflow mapping. Converts avoided touches into capacity. Does not affect any rupee line in the model.</t>
  </si>
  <si>
    <t>J-02</t>
  </si>
  <si>
    <t>Productive hours per claims FTE, per year</t>
  </si>
  <si>
    <t>225 working days x 8 hours. Used only for the capacity-released figure.</t>
  </si>
  <si>
    <t>J-03</t>
  </si>
  <si>
    <t>Share of claims needing a physical survey today</t>
  </si>
  <si>
    <t>Estimate for the sub-Rs 50,000 band, confirmed by data request 1.</t>
  </si>
  <si>
    <t>J-04</t>
  </si>
  <si>
    <t>Share of claims needing a physical survey after ClaimPulse</t>
  </si>
  <si>
    <t>Red lane only. Green and amber sit inside the IRDAI Rs 50,000 surveyor exemption corridor.</t>
  </si>
  <si>
    <t>J-05</t>
  </si>
  <si>
    <t>Claimant status-app visits before abandonment</t>
  </si>
  <si>
    <t>visits</t>
  </si>
  <si>
    <t>Team primary research. Directional, and the basis of the proactive-push design.</t>
  </si>
  <si>
    <t>J-06</t>
  </si>
  <si>
    <t>Garage estimate-to-approval time today</t>
  </si>
  <si>
    <t>Team estimate. Manual estimate, physical inspection, then approval.</t>
  </si>
  <si>
    <t>J-07</t>
  </si>
  <si>
    <t>Garage estimate-to-approval time after ClaimPulse</t>
  </si>
  <si>
    <t>Repair cost engine returns an indicative band at first notification (D-07).</t>
  </si>
  <si>
    <t xml:space="preserve">  TABLE K  —  FILED STAKEHOLDER CONTEXT  ·  used in the Section 1 stakeholder panel</t>
  </si>
  <si>
    <t>K-01</t>
  </si>
  <si>
    <t>Group combined ratio, Q1 FY27</t>
  </si>
  <si>
    <t>BFL Investor Presentation Q1 FY2027. Worsened 1.1 pp YoY from 103.6%.</t>
  </si>
  <si>
    <t>K-02</t>
  </si>
  <si>
    <t>Underwriting loss, Q1 FY27</t>
  </si>
  <si>
    <t>BFL Investor Presentation Q1 FY2027. Widened from Rs 116 Cr in Q1 FY26.</t>
  </si>
  <si>
    <t>K-03</t>
  </si>
  <si>
    <t>Net incurred claim ratio, Q1 FY27</t>
  </si>
  <si>
    <t>Bajaj Finserv Q1 FY2027 results, 31 Jul 2026. Up from 71.1% in Q1 FY2026, driven by health and fire.</t>
  </si>
  <si>
    <t>K-04</t>
  </si>
  <si>
    <t>Motor OD market share, Jun 2026</t>
  </si>
  <si>
    <t>GI Council segment-wise filings. Recovered from a 6.31% trough in Feb 2026.</t>
  </si>
  <si>
    <t>K-05</t>
  </si>
  <si>
    <t>Implied India Motor OD market</t>
  </si>
  <si>
    <t>Derived, order of magnitude</t>
  </si>
  <si>
    <t>A-01 divided by K-04. Sizes the pool Bajaj competes in. Directional, not a filed market figure.</t>
  </si>
  <si>
    <t>K-06</t>
  </si>
  <si>
    <t>1% of K-05. The premium that claims experience defends, and the reason TAT is a retention lever.</t>
  </si>
  <si>
    <t>K-07</t>
  </si>
  <si>
    <t>Solvency ratio, Q1 FY27</t>
  </si>
  <si>
    <t>Against a 150% regulatory minimum. Capital is not the constraint; conviction and execution risk are.</t>
  </si>
  <si>
    <t>K-08</t>
  </si>
  <si>
    <t>Policies in force</t>
  </si>
  <si>
    <t>million</t>
  </si>
  <si>
    <t>Up 26.3% from 38.2M. Volume is growing while relative Motor OD share slipped.</t>
  </si>
  <si>
    <t>K-09</t>
  </si>
  <si>
    <t>Private insurer share of the general market</t>
  </si>
  <si>
    <t>Up from roughly 68% a year earlier. A capability lead is temporary.</t>
  </si>
  <si>
    <t>K-10</t>
  </si>
  <si>
    <t>IRDAI Insurance Fraud Monitoring Framework, effective</t>
  </si>
  <si>
    <t>1 April 2026</t>
  </si>
  <si>
    <t>date</t>
  </si>
  <si>
    <t>Notified 9 Oct 2025. Moves insurers to proactive, board-governed fraud monitoring inside this forecast window.</t>
  </si>
  <si>
    <t xml:space="preserve">  TABLE L  —  LIVE CHALLENGE LEVERS  ·  type an override on the Dashboard and the whole workbook moves</t>
  </si>
  <si>
    <t>Published default</t>
  </si>
  <si>
    <t>Override (Dashboard)</t>
  </si>
  <si>
    <t>LIVE VALUE</t>
  </si>
  <si>
    <t>Why this lever</t>
  </si>
  <si>
    <t>L-01</t>
  </si>
  <si>
    <t>H-04. The largest single driver of the labour line.</t>
  </si>
  <si>
    <t>L-02</t>
  </si>
  <si>
    <t>Cost per manual touch (Rs)</t>
  </si>
  <si>
    <t>300 / 250 / 200 by plan</t>
  </si>
  <si>
    <t>H-03. BPO transaction pricing, tested at the in-house rate at F-01.</t>
  </si>
  <si>
    <t>L-03</t>
  </si>
  <si>
    <t>Fraud detection rate target</t>
  </si>
  <si>
    <t>B-14. A target above the published graph-AI uplift range, stress-tested at F-02 and on Sheet 8.</t>
  </si>
  <si>
    <t>L-04</t>
  </si>
  <si>
    <t>Average claim size (Rs)</t>
  </si>
  <si>
    <t>H-08. Sets the claim count, and reconciled to an in-band claim frequency at Sheet 3 Part K.</t>
  </si>
  <si>
    <t>Leave the yellow Dashboard cells blank to run on published assumptions. Enter a number to override, and every sheet recalculates.</t>
  </si>
  <si>
    <t>TABLE M  —  AI INFERENCE RATE CARD  ·  every rate taken from the vendor's own pricing page on 12 August 2026</t>
  </si>
  <si>
    <t>M-01</t>
  </si>
  <si>
    <t>Gemini 3.5 Flash, input</t>
  </si>
  <si>
    <t>USD / 1M tokens</t>
  </si>
  <si>
    <t>TIER 1 VENDOR</t>
  </si>
  <si>
    <t>Google, ai.google.dev/gemini-api/docs/pricing, retrieved 12 Aug 2026</t>
  </si>
  <si>
    <t>M-02</t>
  </si>
  <si>
    <t>Gemini 3.5 Flash, output</t>
  </si>
  <si>
    <t>Google, ai.google.dev/gemini-api/docs/pricing, retrieved 12 Aug 2026. Gemini 3.6 Flash lists output at 7.50; the 9.00 rate is retained as the conservative input.</t>
  </si>
  <si>
    <t>M-03</t>
  </si>
  <si>
    <t>Gemini 3.5 Flash, cached input</t>
  </si>
  <si>
    <t>M-04</t>
  </si>
  <si>
    <t>Gemini 3.5 Flash-Lite, input</t>
  </si>
  <si>
    <t>M-05</t>
  </si>
  <si>
    <t>Gemini 3.5 Flash-Lite, output</t>
  </si>
  <si>
    <t>M-06</t>
  </si>
  <si>
    <t>GPT-5.6 Terra, input</t>
  </si>
  <si>
    <t>OpenAI, openai.com/api/pricing, retrieved 12 Aug 2026</t>
  </si>
  <si>
    <t>M-07</t>
  </si>
  <si>
    <t>GPT-5.6 Terra, output</t>
  </si>
  <si>
    <t>M-08</t>
  </si>
  <si>
    <t>GPT-5.6 Luna, input</t>
  </si>
  <si>
    <t>M-09</t>
  </si>
  <si>
    <t>GPT-5.6 Luna, output</t>
  </si>
  <si>
    <t>M-10</t>
  </si>
  <si>
    <t>Claude Sonnet 5, input</t>
  </si>
  <si>
    <t>Anthropic, platform.claude.com/docs/en/about-claude/pricing, retrieved 12 Aug 2026. Introductory rate to 31 Aug 2026; the standard 3.00 rate applies from 1 Sep 2026 and is tested at Table Q.</t>
  </si>
  <si>
    <t>M-11</t>
  </si>
  <si>
    <t>Claude Sonnet 5, output</t>
  </si>
  <si>
    <t>Anthropic, platform.claude.com/docs/en/about-claude/pricing, retrieved 12 Aug 2026. Introductory rate to 31 Aug 2026; the standard 15.00 rate applies from 1 Sep 2026 and is tested at Table Q.</t>
  </si>
  <si>
    <t>M-12</t>
  </si>
  <si>
    <t>Claude Haiku 4.5, input</t>
  </si>
  <si>
    <t>Anthropic, platform.claude.com/docs/en/about-claude/pricing, retrieved 12 Aug 2026</t>
  </si>
  <si>
    <t>M-13</t>
  </si>
  <si>
    <t>Claude Haiku 4.5, output</t>
  </si>
  <si>
    <t>M-14</t>
  </si>
  <si>
    <t>Blended mid-tier, input</t>
  </si>
  <si>
    <t>Derived</t>
  </si>
  <si>
    <t>Mean of M-01, M-06, M-10. Used so no single vendor is assumed.</t>
  </si>
  <si>
    <t>M-15</t>
  </si>
  <si>
    <t>Blended mid-tier, output</t>
  </si>
  <si>
    <t>Mean of M-02, M-07, M-11.</t>
  </si>
  <si>
    <t>M-16</t>
  </si>
  <si>
    <t>Blended mid-tier, cached input</t>
  </si>
  <si>
    <t>Mean of the three vendors' cached-input rates.</t>
  </si>
  <si>
    <t>M-17</t>
  </si>
  <si>
    <t>Blended economy, input</t>
  </si>
  <si>
    <t>Mean of M-04, M-08, M-12.</t>
  </si>
  <si>
    <t>M-18</t>
  </si>
  <si>
    <t>Blended economy, output</t>
  </si>
  <si>
    <t>Mean of M-05, M-09, M-13.</t>
  </si>
  <si>
    <t>M-19</t>
  </si>
  <si>
    <t>Batch processing discount</t>
  </si>
  <si>
    <t>All three vendors publish 50 per cent off input and output for asynchronous batch.</t>
  </si>
  <si>
    <t>M-20</t>
  </si>
  <si>
    <t>Cached input discount</t>
  </si>
  <si>
    <t>Roughly 90 per cent off re-used input across all three vendors. Policy wording and system prompt are identical on every claim.</t>
  </si>
  <si>
    <t>M-21</t>
  </si>
  <si>
    <t>Video tokenisation rate</t>
  </si>
  <si>
    <t>tokens / second</t>
  </si>
  <si>
    <t>Google, ai.google.dev/gemini-api/docs/tokens, retrieved 12 Aug 2026</t>
  </si>
  <si>
    <t>M-22</t>
  </si>
  <si>
    <t>Image tokenisation rate</t>
  </si>
  <si>
    <t>tokens / 768x768 tile</t>
  </si>
  <si>
    <t>M-23</t>
  </si>
  <si>
    <t>Audio tokenisation rate</t>
  </si>
  <si>
    <t>M-24</t>
  </si>
  <si>
    <t>Data residency premium, pinned region</t>
  </si>
  <si>
    <t>OpenAI and Anthropic both charge 1.1x for region-pinned inference. Directly relevant to DPDP and A-12.</t>
  </si>
  <si>
    <t>M-25</t>
  </si>
  <si>
    <t>A100 on-demand GPU, observed market range</t>
  </si>
  <si>
    <t>0.93 to 3.67</t>
  </si>
  <si>
    <t>Multi-provider survey Aug 2026. Google Cloud a2-highgpu-1g 3.67, AWS capacity block about 1.48, Lambda 1.99. Supports E-04 at 3.00, which sits at the conservative end.</t>
  </si>
  <si>
    <t xml:space="preserve">  TABLE N  —  ASSUMPTION SENSITIVITY REGISTER, CONTINUED  ·  inference and data inputs</t>
  </si>
  <si>
    <t>W-09</t>
  </si>
  <si>
    <t>E-01, GPU hours per claim, is sized on provisioned peak capacity rather than measured utilisation. It produces Rs 114 per claim and carries 46 per cent of the annual run cost.</t>
  </si>
  <si>
    <t>Conservative on cost. Sheet 13 prices the same workload on published API rates at a fraction of it, so right-sizing releases run cost rather than adding it.</t>
  </si>
  <si>
    <t>A measured GPU-seconds-per-claim benchmark from the pilot. Sheet 13 sets the decision rule. Pilot gate 1.</t>
  </si>
  <si>
    <t>W-10</t>
  </si>
  <si>
    <t>Per-claim TOKEN VOLUMES are estimated. The rate cards at Table M are vendor-published and dated.</t>
  </si>
  <si>
    <t>Sheet 12 shows payback moves 0.02 months across an eighteen-fold token range, so the answer is insensitive to it.</t>
  </si>
  <si>
    <t>countTokens instrumentation over a pilot sample. Pilot gate 2.</t>
  </si>
  <si>
    <t>W-11</t>
  </si>
  <si>
    <t>Bajaj’s historical claim-image archive is valued at zero. D-13 carries Rs 0.60 Cr to acquire a labelled damage and synthetic set.</t>
  </si>
  <si>
    <t>Conservative. If the archive is usable, D-13 falls and the fraud and damage models start from a base no competitor can buy.</t>
  </si>
  <si>
    <t>Confirm retained media volume with claims operations, and confirm DPDP purpose limitation with counsel. Data request 5.</t>
  </si>
  <si>
    <t>TABLE O  —  GENAI BUILD VERSUS BUY INPUTS  ·  scope of the incremental decision. Feeds Sheet 13</t>
  </si>
  <si>
    <t>O-01</t>
  </si>
  <si>
    <t>Share of GPU hours that is BASELINE conventional ML, required regardless of GenAI</t>
  </si>
  <si>
    <t>Bajaj already runs rule-based fraud detection at a 62% detection rate (B-13), so some inference capacity exists whatever is decided. Netted out of the comparison and tested on Sheet 13.</t>
  </si>
  <si>
    <t>O-02</t>
  </si>
  <si>
    <t>Share that is MOAT and must be self-hosted regardless</t>
  </si>
  <si>
    <t>The synthetic and tampered media classifier (D-04) is trained on our own media and cannot be bought. Excluded from the decision because there is no buy option.</t>
  </si>
  <si>
    <t>O-03</t>
  </si>
  <si>
    <t>Share IN SCOPE for the build-versus-buy decision</t>
  </si>
  <si>
    <t>Document extraction, policy reasoning and explanation generation. The workload where a genuine API alternative exists.</t>
  </si>
  <si>
    <t>O-04</t>
  </si>
  <si>
    <t>GenAI input tokens per claim</t>
  </si>
  <si>
    <t>tokens</t>
  </si>
  <si>
    <t>NOT MEASURED</t>
  </si>
  <si>
    <t>Sheet 12 Part D central case. Rate cards are verified; this quantity is not. See W-10.</t>
  </si>
  <si>
    <t>O-05</t>
  </si>
  <si>
    <t>GenAI output tokens per claim</t>
  </si>
  <si>
    <t>Sheet 12 Part D central case. See W-10.</t>
  </si>
  <si>
    <t>O-06</t>
  </si>
  <si>
    <t>Batch and caching discount applied on the buy side</t>
  </si>
  <si>
    <t>Zero by default, which is deliberately unfavourable to buying. M-19 and M-20 show up to 50 and 90 per cent are available.</t>
  </si>
  <si>
    <t>O-07</t>
  </si>
  <si>
    <t>TCO horizon</t>
  </si>
  <si>
    <t>Matches the Investor Metrics DCF window.</t>
  </si>
  <si>
    <t xml:space="preserve">  TABLE P  —  NET EARNED PREMIUM BASIS  ·  three bases carried, the model runs on P-01</t>
  </si>
  <si>
    <t>P-01</t>
  </si>
  <si>
    <t>Whole-book NEP / GDPI, FY2026  (MODEL DEFAULT)</t>
  </si>
  <si>
    <t>Bajaj General FY2026 NEP Rs 9,519 Cr on GDPI Rs 19,082 Cr. Applied to Motor OD, where retention is higher, so it understates the Motor OD claims pool.</t>
  </si>
  <si>
    <t>P-02</t>
  </si>
  <si>
    <t>Whole-book NEP / GWP, Q1 FY2027</t>
  </si>
  <si>
    <t>Bajaj Finserv Q1 FY2027: NEP Rs 2,669 Cr on GWP Rs 5,789 Cr. Quarterly, and on a GWP rather than a GDPI denominator.</t>
  </si>
  <si>
    <t>P-03</t>
  </si>
  <si>
    <t>Private-insurer Motor OD retention cohort</t>
  </si>
  <si>
    <t>Motor OD cohort retention. The most representative basis for a Motor-OD-only book, and the reason P-01 is the conservative choice.</t>
  </si>
  <si>
    <t>Sheet 3 Part M restates net benefit, combined-ratio impact and payback on all three bases. The model runs on P-01 throughout.</t>
  </si>
  <si>
    <t xml:space="preserve">  TABLE Q  —  INFERENCE PRICE CURRENCY TEST  ·  rates that change inside the forecast window</t>
  </si>
  <si>
    <t>M-26</t>
  </si>
  <si>
    <t>Blended mid-tier input, rate card from 1 Sep 2026</t>
  </si>
  <si>
    <t>Mean of M-01, M-06 and the Anthropic standard rate effective 1 Sep 2026. Sheet 13 Part G runs the buy case on these rates.</t>
  </si>
  <si>
    <t>M-27</t>
  </si>
  <si>
    <t>Blended mid-tier output, rate card from 1 Sep 2026</t>
  </si>
  <si>
    <t>Mean of M-02, M-07 and the Anthropic standard rate effective 1 Sep 2026.</t>
  </si>
  <si>
    <t>ClaimPulse  ·  Investment Summary</t>
  </si>
  <si>
    <t>Team Finsighters · NMIMS Mumbai · PS_BFDL Motor Insurance Claims TAT Reduction.  Three implementation plans. Every figure is a formula reading Sheets 2 to 4 — nothing on this sheet is typed.</t>
  </si>
  <si>
    <t xml:space="preserve">  PART 1  —  HEADLINE FIGURES</t>
  </si>
  <si>
    <t>H-01</t>
  </si>
  <si>
    <t>H-02</t>
  </si>
  <si>
    <t>Claims on the platform, per month</t>
  </si>
  <si>
    <t>claims</t>
  </si>
  <si>
    <t>H-03</t>
  </si>
  <si>
    <t>Claim TAT on ClaimPulse  (9.8 days today)</t>
  </si>
  <si>
    <t>H-04</t>
  </si>
  <si>
    <t>Blended TAT across the whole Motor OD book</t>
  </si>
  <si>
    <t>H-05</t>
  </si>
  <si>
    <t>TAT reduction vs today</t>
  </si>
  <si>
    <t>%</t>
  </si>
  <si>
    <t>H-06</t>
  </si>
  <si>
    <t>Manual touches per claim  (7 today)</t>
  </si>
  <si>
    <t>H-07</t>
  </si>
  <si>
    <t>Gross annual benefit</t>
  </si>
  <si>
    <t>H-08</t>
  </si>
  <si>
    <t>Annual run cost</t>
  </si>
  <si>
    <t>H-09</t>
  </si>
  <si>
    <t>NET ANNUAL BENEFIT</t>
  </si>
  <si>
    <t>H-10</t>
  </si>
  <si>
    <t>Net monthly benefit</t>
  </si>
  <si>
    <t>H-11</t>
  </si>
  <si>
    <t>Build cost, one-off  (same in all three plans)</t>
  </si>
  <si>
    <t>H-12</t>
  </si>
  <si>
    <t>Payback on steady-state economics</t>
  </si>
  <si>
    <t>H-13</t>
  </si>
  <si>
    <t>Payback  —  REALISTIC DOWNSIDE</t>
  </si>
  <si>
    <t>H-14</t>
  </si>
  <si>
    <t>Payback  —  absolute floor, labour only</t>
  </si>
  <si>
    <t>H-15</t>
  </si>
  <si>
    <t>Combined ratio impact  —  Motor OD basis</t>
  </si>
  <si>
    <t>H-16</t>
  </si>
  <si>
    <t>Combined ratio impact  —  group basis</t>
  </si>
  <si>
    <t>H-17</t>
  </si>
  <si>
    <t>3-year net benefit</t>
  </si>
  <si>
    <t>H-18</t>
  </si>
  <si>
    <t>3-year NPV at 12%</t>
  </si>
  <si>
    <t>H-19</t>
  </si>
  <si>
    <t>Payback from project kickoff  (includes the 10-month build)</t>
  </si>
  <si>
    <t xml:space="preserve">  PART 1B  —  WHERE THE BENEFIT COMES FROM  (Rs Cr per year, steady state)</t>
  </si>
  <si>
    <t>Benefit line</t>
  </si>
  <si>
    <t>Drives which ratio</t>
  </si>
  <si>
    <t>H-20</t>
  </si>
  <si>
    <t>Labour: manual touches removed</t>
  </si>
  <si>
    <t>Expense ratio</t>
  </si>
  <si>
    <t>H-21</t>
  </si>
  <si>
    <t>Fraud avoided: fraud and duplicate graph</t>
  </si>
  <si>
    <t>Loss ratio</t>
  </si>
  <si>
    <t>H-22</t>
  </si>
  <si>
    <t>Fraud avoided: CAPTURE INTEGRITY GATE</t>
  </si>
  <si>
    <t>H-23</t>
  </si>
  <si>
    <t>Synthetic-media exposure avoided: THE GATE</t>
  </si>
  <si>
    <t>H-24</t>
  </si>
  <si>
    <t>Renewal retention on claimants</t>
  </si>
  <si>
    <t>Outside both ratios</t>
  </si>
  <si>
    <t>H-25</t>
  </si>
  <si>
    <t>less: live-capture friction cost</t>
  </si>
  <si>
    <t>H-26</t>
  </si>
  <si>
    <t>GROSS ANNUAL BENEFIT</t>
  </si>
  <si>
    <t>Rows H-22, H-23 and part of the TAT gain are the Capture Integrity Gate. It carries its own build cost and its own benefit lines rather than sitting on a slide as a claim.</t>
  </si>
  <si>
    <t xml:space="preserve">  PART 2  —  KEY ASSUMPTIONS AND DATA SOURCES  ·  full register on Sheet 1</t>
  </si>
  <si>
    <t>Source / basis</t>
  </si>
  <si>
    <t>Top of the benefit chain. Everything scales from this.</t>
  </si>
  <si>
    <t>Converts gross direct premium to net earned premium. Filed FY2026 basis; three bases are carried at Table P.</t>
  </si>
  <si>
    <t>Converts earned premium into the claims pool ClaimPulse acts on.</t>
  </si>
  <si>
    <t>The regulatory corridor the green lane is scoped to sit inside.</t>
  </si>
  <si>
    <t>Every USD build benchmark converts at this rate.</t>
  </si>
  <si>
    <t>Sets claim count. A lower figure means MORE claims and MORE benefit, so this is conservative.</t>
  </si>
  <si>
    <t>Largest single driver of the labour line, and a team estimate. Validate with claims ops.</t>
  </si>
  <si>
    <t>Green-lane share sets both the touch reduction and the TAT gain.</t>
  </si>
  <si>
    <t>Denominator of the fraud formula.</t>
  </si>
  <si>
    <t>A TARGET, not a demonstrated capability. Tested at 82% in the downside.</t>
  </si>
  <si>
    <t>Fraud leakage pool. Derived from a life and health benchmark used as a motor proxy.</t>
  </si>
  <si>
    <t>Synthetic-media incidence. Forward-looking, and the vector nobody else defends against.</t>
  </si>
  <si>
    <t>BPO per-transaction pricing benchmark</t>
  </si>
  <si>
    <t>Rs 300 / 250 / 200 across the three plans. BPO transaction pricing; the downside test uses Rs 83.</t>
  </si>
  <si>
    <t xml:space="preserve">  HOW TO REPRODUCE THIS WORKBOOK</t>
  </si>
  <si>
    <t>1.  Every input lives on Sheet 1. Sheets 2, 3 and 4 contain no typed numbers, only formulas.</t>
  </si>
  <si>
    <t>2.  Change any yellow cell on Sheet 1 and the whole workbook recalculates, including all three plans.</t>
  </si>
  <si>
    <t>3.  The three plans differ by exactly two levers: rollout (C-01) and cost per touch (C-02). Build cost is identical in all three.</t>
  </si>
  <si>
    <t>4.  Sheet 3 Part H tests the case when the two weakest assumptions break. Quote H-13, not H-12.</t>
  </si>
  <si>
    <t>5.  Combined ratio is shown on two bases. Always state which one you are using.</t>
  </si>
  <si>
    <t>6.  Sheet 1 Table G sets out how every line is constructed. Table H is the sensitivity register: which inputs move the answer, and how each one is validated.</t>
  </si>
  <si>
    <t xml:space="preserve">  PART 3  —  MODEL INTEGRITY  ·  the workbook audits itself before anyone else does</t>
  </si>
  <si>
    <t>What it proves</t>
  </si>
  <si>
    <t>Stakeholder split reconciles to net annual benefit</t>
  </si>
  <si>
    <t>The Sheet 3 Part I split does not drift from the P&amp;L.</t>
  </si>
  <si>
    <t>Benefit lines sum to gross annual benefit</t>
  </si>
  <si>
    <t>No benefit line is double counted or dropped.</t>
  </si>
  <si>
    <t>Group consolidated benefit equals net annual benefit</t>
  </si>
  <si>
    <t>Who-books-what adds back to the same total.</t>
  </si>
  <si>
    <t>Summary headline equals the Workings result</t>
  </si>
  <si>
    <t>Sheet 2 is a formula on Sheet 3, not a retyped number.</t>
  </si>
  <si>
    <t>Investor Metrics net benefit equals the Workings result</t>
  </si>
  <si>
    <t>Sheet 5 reads the same engine.</t>
  </si>
  <si>
    <t>Forecast 3-year total equals the sum of its years</t>
  </si>
  <si>
    <t>The forecast block adds up.</t>
  </si>
  <si>
    <t>Combined ratio equals loss plus expense ratio</t>
  </si>
  <si>
    <t>Both halves of the ratio are accounted for.</t>
  </si>
  <si>
    <t>Claims-handling hours reconcile to touches avoided</t>
  </si>
  <si>
    <t>The Panel 3 chart source ties to the touch model.</t>
  </si>
  <si>
    <t>OVERALL</t>
  </si>
  <si>
    <t>Eight checks across three plans. This cell feeds the Dashboard.</t>
  </si>
  <si>
    <t>Detailed Workings</t>
  </si>
  <si>
    <t>Filed premium to net benefit, for all three implementation plans side by side. Every cell is a formula reading Sheet 1. Nothing here is typed.</t>
  </si>
  <si>
    <t xml:space="preserve">  PART A  —  FROM FILED PREMIUM TO CLAIMS IN SCOPE</t>
  </si>
  <si>
    <t>Step</t>
  </si>
  <si>
    <t>How it is derived</t>
  </si>
  <si>
    <t>A-01. Bajaj's own filed Motor OD gross direct premium.</t>
  </si>
  <si>
    <t>Motor OD net earned premium</t>
  </si>
  <si>
    <t>W-01 x A-02 filed NEP/GDPI ratio.</t>
  </si>
  <si>
    <t>Annual incurred claims pool</t>
  </si>
  <si>
    <t>W-02 x A-03 net incurred claims ratio. This is the pool ClaimPulse acts on.</t>
  </si>
  <si>
    <t>B-01. Reconciled to an in-band claim frequency at Part K.</t>
  </si>
  <si>
    <t>Annual claim count, full book</t>
  </si>
  <si>
    <t>Claims pool in rupees divided by average claim size.</t>
  </si>
  <si>
    <t>C-01. THE defining lever between the three plans.</t>
  </si>
  <si>
    <t>Annual claims on the platform</t>
  </si>
  <si>
    <t>Full-book count x rollout.</t>
  </si>
  <si>
    <t>Monthly claims on the platform</t>
  </si>
  <si>
    <t>Annual claim count divided by twelve.</t>
  </si>
  <si>
    <t>Annual claims VALUE on the platform</t>
  </si>
  <si>
    <t>Claims pool x rollout. Drives both fraud lines.</t>
  </si>
  <si>
    <t xml:space="preserve">  PART B  —  LANE MIX, MANUAL TOUCHES AND TAT  ·  the Trust Score routing</t>
  </si>
  <si>
    <t>Blended manual touches after ClaimPulse</t>
  </si>
  <si>
    <t>Lane-weighted: 65% green x 0.2 + 25% amber x 2 + 10% red x 6.</t>
  </si>
  <si>
    <t>Manual touches removed per claim</t>
  </si>
  <si>
    <t>7 today less the blended figure above.</t>
  </si>
  <si>
    <t>W-12</t>
  </si>
  <si>
    <t>Claim TAT on ClaimPulse</t>
  </si>
  <si>
    <t>Lane-weighted: 65% x 1.5d + 25% x 3.5d + 10% x 7d.</t>
  </si>
  <si>
    <t>W-13</t>
  </si>
  <si>
    <t>B-09. Industry-typical 7 to 10+ days.</t>
  </si>
  <si>
    <t>W-14</t>
  </si>
  <si>
    <t>TAT on ClaimPulse, after live-capture friction</t>
  </si>
  <si>
    <t>8% of claims fall from green to amber because live capture was not possible. The honest figure.</t>
  </si>
  <si>
    <t>W-15</t>
  </si>
  <si>
    <t>Platform TAT on the rolled-out share, 9.8 days on the rest. This is the number that improves as rollout rises.</t>
  </si>
  <si>
    <t>W-16</t>
  </si>
  <si>
    <t>W-13 less W-15.</t>
  </si>
  <si>
    <t>W-17</t>
  </si>
  <si>
    <t>TAT reduction</t>
  </si>
  <si>
    <t>As a percentage of today's TAT.</t>
  </si>
  <si>
    <t xml:space="preserve">  PART C  —  ANNUAL BENEFIT LINES  (Rs Cr)</t>
  </si>
  <si>
    <t>W-18</t>
  </si>
  <si>
    <t>Claims x (baseline touches at B-28 less residual touches at the plan rate). Lands in the EXPENSE ratio. Tests at H-03 and H-04.</t>
  </si>
  <si>
    <t>W-19</t>
  </si>
  <si>
    <t>Claims value x leakage pool x reduction in the UNDETECTED share, then the graph's 18 of 28 pp share. Hits the LOSS ratio.</t>
  </si>
  <si>
    <t>W-20</t>
  </si>
  <si>
    <t>Same chain, the gate's 10 of 28 pp share. EXIF and metadata contradiction caught at intake.</t>
  </si>
  <si>
    <t>W-21</t>
  </si>
  <si>
    <t>Claims value x synthetic-fraud incidence x gate detection rate. A NEW vector, additive to W-19 and W-20. Nobody else defends against it.</t>
  </si>
  <si>
    <t>W-22</t>
  </si>
  <si>
    <t>Renewal retention on the claimant cohort</t>
  </si>
  <si>
    <t>Claims x average premium x renewal uplift x retained value. Distribution income, so it sits OUTSIDE the combined ratio.</t>
  </si>
  <si>
    <t>W-23</t>
  </si>
  <si>
    <t>8% of claims take amber-lane touches instead of green. The cost of the hard live-capture rule.</t>
  </si>
  <si>
    <t>W-24</t>
  </si>
  <si>
    <t>Sum of the six lines above.</t>
  </si>
  <si>
    <t xml:space="preserve">  PART D  —  BUILD COST, ONE-OFF  ·  identical in all three plans (you build the same system)</t>
  </si>
  <si>
    <t>W-25</t>
  </si>
  <si>
    <t>TOTAL BUILD COST</t>
  </si>
  <si>
    <t>All</t>
  </si>
  <si>
    <t>USD lines x A-10 India uplift x A-08 FX, plus the three rupee lines.</t>
  </si>
  <si>
    <t xml:space="preserve">  PART E  —  ANNUAL RUN COST  (Rs Cr)</t>
  </si>
  <si>
    <t>Cost line</t>
  </si>
  <si>
    <t>W-26</t>
  </si>
  <si>
    <t>GPU compute, peak-sized</t>
  </si>
  <si>
    <t>Claims x GPU hours x peak multiplier x safety margin x rate x FX. Sized on provisioned peak capacity because claims cluster. Sheet 13 sets the right-sizing decision rule.</t>
  </si>
  <si>
    <t>W-27</t>
  </si>
  <si>
    <t>Claims x USD per claim x FX x replication multiplier.</t>
  </si>
  <si>
    <t>W-28</t>
  </si>
  <si>
    <t>E-07 x FX x 12. Fixed.</t>
  </si>
  <si>
    <t>W-29</t>
  </si>
  <si>
    <t>E-08 x 12. Fixed.</t>
  </si>
  <si>
    <t>W-30</t>
  </si>
  <si>
    <t>E-09 x 12. Fixed. Separate from the one-off setup in D-15.</t>
  </si>
  <si>
    <t>W-31</t>
  </si>
  <si>
    <t>E-10 x 12. Fixed.</t>
  </si>
  <si>
    <t>W-32</t>
  </si>
  <si>
    <t>TOTAL ANNUAL RUN COST</t>
  </si>
  <si>
    <t>Two volume-scaled lines plus four fixed lines.</t>
  </si>
  <si>
    <t xml:space="preserve">  PART F  —  NET RESULT</t>
  </si>
  <si>
    <t>W-33</t>
  </si>
  <si>
    <t>From Part C.</t>
  </si>
  <si>
    <t>W-34</t>
  </si>
  <si>
    <t>From Part E.</t>
  </si>
  <si>
    <t>W-35</t>
  </si>
  <si>
    <t>Steady state, at the plan's rollout.</t>
  </si>
  <si>
    <t>W-36</t>
  </si>
  <si>
    <t>Net annual benefit divided by twelve.</t>
  </si>
  <si>
    <t>W-37</t>
  </si>
  <si>
    <t>Build cost, one-off</t>
  </si>
  <si>
    <t>From Part D. Flat across plans.</t>
  </si>
  <si>
    <t>W-38</t>
  </si>
  <si>
    <t>PAYBACK on steady-state economics</t>
  </si>
  <si>
    <t>Build cost divided by net monthly benefit. Payback from project kickoff, at Sheet 4 FS-05, is the number the deck quotes.</t>
  </si>
  <si>
    <t xml:space="preserve">  PART G  —  INSURANCE P&amp;L BRIDGE  ·  combined ratio = loss ratio + expense ratio</t>
  </si>
  <si>
    <t>W-39</t>
  </si>
  <si>
    <t>From W-02.</t>
  </si>
  <si>
    <t>W-40</t>
  </si>
  <si>
    <t>Rs per 1 pp of Motor OD ratio</t>
  </si>
  <si>
    <t>1% of Motor OD earned premium.</t>
  </si>
  <si>
    <t>W-41</t>
  </si>
  <si>
    <t>LOSS ratio impact (all three fraud lines)</t>
  </si>
  <si>
    <t>Fraud reduces incurred claims, so it moves the loss ratio.</t>
  </si>
  <si>
    <t>W-42</t>
  </si>
  <si>
    <t>EXPENSE ratio impact (labour, net of friction and all run cost)</t>
  </si>
  <si>
    <t>Claims-handling OPEX sits in the expense ratio.</t>
  </si>
  <si>
    <t>W-43</t>
  </si>
  <si>
    <t>COMBINED RATIO IMPACT  —  MOTOR OD basis</t>
  </si>
  <si>
    <t>Loss plus expense, measured against Motor OD earned premium. Always quoted with its denominator.</t>
  </si>
  <si>
    <t>W-44</t>
  </si>
  <si>
    <t>Bajaj total net earned premium, estimated</t>
  </si>
  <si>
    <t>A-05 total GDPI x A-02 NEP ratio. Used only for the group-basis view.</t>
  </si>
  <si>
    <t>W-45</t>
  </si>
  <si>
    <t>Rs per 1 pp of group ratio</t>
  </si>
  <si>
    <t>1% of group earned premium.</t>
  </si>
  <si>
    <t>W-46</t>
  </si>
  <si>
    <t>COMBINED RATIO IMPACT  —  GROUP basis</t>
  </si>
  <si>
    <t>The SAME rupees against the whole book. Never subtract the Motor OD figure from a group combined ratio.</t>
  </si>
  <si>
    <t>W-47</t>
  </si>
  <si>
    <t>Distribution income (renewal), outside the combined ratio</t>
  </si>
  <si>
    <t>Commission is not an underwriting item, so it is excluded from both ratios above.</t>
  </si>
  <si>
    <t xml:space="preserve">  PART H  —  DOWNSIDE TESTS  ·  what happens when our two weakest assumptions break</t>
  </si>
  <si>
    <t>Test line</t>
  </si>
  <si>
    <t>W-48</t>
  </si>
  <si>
    <t>Labour benefit at the IN-HOUSE touch cost</t>
  </si>
  <si>
    <t>Rs 83 per touch in place of Rs 250. Tests H-03.</t>
  </si>
  <si>
    <t>W-49</t>
  </si>
  <si>
    <t>Fraud avoided if detection lands at 82%</t>
  </si>
  <si>
    <t>Both fraud lines combined, at the 82% detection landing (F-02).</t>
  </si>
  <si>
    <t>W-50</t>
  </si>
  <si>
    <t>less: friction cost at the in-house rate</t>
  </si>
  <si>
    <t>Consistent with W-48.</t>
  </si>
  <si>
    <t>W-51</t>
  </si>
  <si>
    <t>Downside net annual benefit</t>
  </si>
  <si>
    <t>In-house labour cost AND fraud at 82% AND zero synthetic-media benefit AND zero renewal benefit.</t>
  </si>
  <si>
    <t>W-52</t>
  </si>
  <si>
    <t>Floor net annual benefit</t>
  </si>
  <si>
    <t>Labour only, at in-house rates, with NO fraud benefit whatsoever. The absolute worst case.</t>
  </si>
  <si>
    <t>W-53</t>
  </si>
  <si>
    <t>Payback  —  as modelled</t>
  </si>
  <si>
    <t>From Part F. Steady-state basis; the kickoff-basis figure is at Sheet 4 FS-05.</t>
  </si>
  <si>
    <t>W-54</t>
  </si>
  <si>
    <t>Payback  —  realistic downside</t>
  </si>
  <si>
    <t>Net benefit with in-house labour cost, fraud at 82 per cent, and no synthetic-media or renewal benefit.</t>
  </si>
  <si>
    <t>W-55</t>
  </si>
  <si>
    <t>Payback  —  absolute floor</t>
  </si>
  <si>
    <t>Labour only at in-house rates, zero fraud.</t>
  </si>
  <si>
    <t xml:space="preserve">  PART I  —  STAKEHOLDER VALUE SPLIT  ·  who books each rupee, and who is affected without booking one</t>
  </si>
  <si>
    <t>W-56</t>
  </si>
  <si>
    <t>Bajaj General claims operations  —  EXPENSE-ratio value</t>
  </si>
  <si>
    <t>Labour saving less the live-capture friction cost. Booked in the expense ratio.</t>
  </si>
  <si>
    <t>W-57</t>
  </si>
  <si>
    <t>Bajaj General underwriting  —  LOSS-ratio value</t>
  </si>
  <si>
    <t>All three fraud lines: graph, capture gate and synthetic media. Booked in the loss ratio.</t>
  </si>
  <si>
    <t>W-58</t>
  </si>
  <si>
    <t>BFDL distribution  —  renewal value</t>
  </si>
  <si>
    <t>Retained commission and margin. Sits outside the combined ratio.</t>
  </si>
  <si>
    <t>W-59</t>
  </si>
  <si>
    <t>less: platform run cost</t>
  </si>
  <si>
    <t>Borne by whichever entity operates the platform. Shown separately so the split is honest.</t>
  </si>
  <si>
    <t>W-60</t>
  </si>
  <si>
    <t>CHECK  —  split less W-35, must be zero</t>
  </si>
  <si>
    <t>Integrity check. If this is not zero the stakeholder split has drifted from the P&amp;L.</t>
  </si>
  <si>
    <t>W-61</t>
  </si>
  <si>
    <t>Claim TAT saved per on-platform claim</t>
  </si>
  <si>
    <t>Today’s 9.8 days less the post-friction platform TAT of 2.71 days.</t>
  </si>
  <si>
    <t>W-62</t>
  </si>
  <si>
    <t>CLAIMANT-DAYS RETURNED PER YEAR</t>
  </si>
  <si>
    <t>On-platform claims x TAT saved. The claimant-facing headline, and it scales with rollout.</t>
  </si>
  <si>
    <t>W-63</t>
  </si>
  <si>
    <t>Claims auto-settled with zero human touch</t>
  </si>
  <si>
    <t>Green-lane share (B-03) of on-platform claims.</t>
  </si>
  <si>
    <t>W-64</t>
  </si>
  <si>
    <t>Amber and red lanes. Judgement is redeployed, not removed.</t>
  </si>
  <si>
    <t>W-65</t>
  </si>
  <si>
    <t>Share of the book still on the 9.8-day journey</t>
  </si>
  <si>
    <t>The counterweight: rollout defines who is NOT reached. Conservative leaves 80% untouched.</t>
  </si>
  <si>
    <t>W-66</t>
  </si>
  <si>
    <t>On-platform claims x touches removed per claim (W-11).</t>
  </si>
  <si>
    <t>W-67</t>
  </si>
  <si>
    <t>Claims-handling hours released per year</t>
  </si>
  <si>
    <t>Touches avoided x minutes per touch (J-01).</t>
  </si>
  <si>
    <t>W-68</t>
  </si>
  <si>
    <t>FTE CAPACITY RELEASED</t>
  </si>
  <si>
    <t>FTE</t>
  </si>
  <si>
    <t>Hours released / productive hours per FTE (J-02). Redeployed to complex claims, not made redundant.</t>
  </si>
  <si>
    <t>W-69</t>
  </si>
  <si>
    <t>Touches today / blended touches after. The same team clears this multiple of claims.</t>
  </si>
  <si>
    <t>W-70</t>
  </si>
  <si>
    <t>Claims needing a physical survey  —  today</t>
  </si>
  <si>
    <t>J-03.</t>
  </si>
  <si>
    <t>W-71</t>
  </si>
  <si>
    <t>Claims needing a physical survey  —  ClaimPulse</t>
  </si>
  <si>
    <t>J-04. Red lane only; green and amber sit inside the IRDAI Rs 50,000 corridor.</t>
  </si>
  <si>
    <t>W-72</t>
  </si>
  <si>
    <t>Surveyor visits avoided per year</t>
  </si>
  <si>
    <t>Surveyors move above the Rs 50,000 threshold where judgement is actually required.</t>
  </si>
  <si>
    <t>W-73</t>
  </si>
  <si>
    <t>Garage estimate-to-approval days saved</t>
  </si>
  <si>
    <t>J-06 less J-07. The repair cost engine returns an indicative band at first notification.</t>
  </si>
  <si>
    <t>W-74</t>
  </si>
  <si>
    <t>Build spend on governance, audit and explainability</t>
  </si>
  <si>
    <t>D-10 production hardening plus D-15 security and DPDP setup. Costed, not assumed away.</t>
  </si>
  <si>
    <t>W-75</t>
  </si>
  <si>
    <t>Build spend on the CAPTURE INTEGRITY GATE</t>
  </si>
  <si>
    <t>D-03, D-04, D-05 and D-13. The moat, carried as cost lines rather than a slide claim.</t>
  </si>
  <si>
    <t>W-76</t>
  </si>
  <si>
    <t>Annual run spend on security, compliance and legal</t>
  </si>
  <si>
    <t>W-30 plus W-31. Recurring DPDP and IRDAI cost, in the model every year.</t>
  </si>
  <si>
    <t>W-77</t>
  </si>
  <si>
    <t>Gate and governance spend as a share of total build</t>
  </si>
  <si>
    <t>Roughly a third of the build buys defensibility and auditability.</t>
  </si>
  <si>
    <t>W-78</t>
  </si>
  <si>
    <t>Honest claimants downgraded green to amber</t>
  </si>
  <si>
    <t>B-20. Older phones, indoor parking, GPS off. They are handled, just not auto-settled.</t>
  </si>
  <si>
    <t>W-79</t>
  </si>
  <si>
    <t>Cost of that friction, per year</t>
  </si>
  <si>
    <t>W-23 restated as a positive cost. We charge ourselves for our own hard rule.</t>
  </si>
  <si>
    <t>W-80</t>
  </si>
  <si>
    <t>Friction as a share of gross annual benefit</t>
  </si>
  <si>
    <t>What the live-capture rule costs, stated before anyone asks.</t>
  </si>
  <si>
    <t>W-81</t>
  </si>
  <si>
    <t>Capital deployed by BFDL, one-off</t>
  </si>
  <si>
    <t>The build sits with BFDL. Flat across all three plans.</t>
  </si>
  <si>
    <t>W-82</t>
  </si>
  <si>
    <t>Annual value landing in Bajaj General’s underwriting result</t>
  </si>
  <si>
    <t>Expense-ratio plus loss-ratio value, less the full run cost.</t>
  </si>
  <si>
    <t>W-83</t>
  </si>
  <si>
    <t>Annual value landing in BFDL / distribution</t>
  </si>
  <si>
    <t>Renewal retention on the claimant cohort.</t>
  </si>
  <si>
    <t>W-84</t>
  </si>
  <si>
    <t>GROUP CONSOLIDATED NET ANNUAL BENEFIT</t>
  </si>
  <si>
    <t>Ties to W-35. Bajaj Finserv consolidates both entities, so this is a capital allocation question.</t>
  </si>
  <si>
    <t>W-85</t>
  </si>
  <si>
    <t>K-06. The premium that claims experience defends. Directional.</t>
  </si>
  <si>
    <t>W-86</t>
  </si>
  <si>
    <t>K-02 x 4. Directional annualisation of a filed quarterly figure.</t>
  </si>
  <si>
    <t>W-87</t>
  </si>
  <si>
    <t>Share of that underwriting loss offset by ClaimPulse</t>
  </si>
  <si>
    <t>Net annual benefit against the annualised underwriting loss. Motor OD alone.</t>
  </si>
  <si>
    <t>W-88</t>
  </si>
  <si>
    <t>Claims-handling hours today</t>
  </si>
  <si>
    <t>On-platform claims x 7 touches x minutes per touch (J-01). Panel 3 chart source.</t>
  </si>
  <si>
    <t>W-89</t>
  </si>
  <si>
    <t>Claims-handling hours after ClaimPulse</t>
  </si>
  <si>
    <t>On-platform claims x blended 1.23 touches x J-01. W-88 less W-89 equals W-67.</t>
  </si>
  <si>
    <t xml:space="preserve">  PART J  —  BREAK-EVEN: WHAT WOULD HAVE TO BE TRUE FOR THIS TO FAIL  ·  labour only, ZERO fraud benefit</t>
  </si>
  <si>
    <t>W-90</t>
  </si>
  <si>
    <t>Break-even manual touches per claim today</t>
  </si>
  <si>
    <t>Baseline touches at which the labour saving alone covers the full annual run cost, with no fraud benefit.</t>
  </si>
  <si>
    <t>W-91</t>
  </si>
  <si>
    <t>Cushion on touches per claim</t>
  </si>
  <si>
    <t>How far the 7-touch assumption can fall before the case stops covering its run cost.</t>
  </si>
  <si>
    <t>W-92</t>
  </si>
  <si>
    <t>Break-even baseline cost per manual touch</t>
  </si>
  <si>
    <t>Baseline rate at which the labour saving alone covers run cost. Compare with the Rs 83 in-house rate at F-01.</t>
  </si>
  <si>
    <t>W-93</t>
  </si>
  <si>
    <t>Cushion on cost per touch</t>
  </si>
  <si>
    <t>Headroom below the B-28 baseline rate before the labour engine stops covering its run cost.</t>
  </si>
  <si>
    <t>W-94</t>
  </si>
  <si>
    <t>Break-even rollout of the addressable book</t>
  </si>
  <si>
    <t>UE-11. Rollout at which labour savings alone cover build plus a full year of run cost.</t>
  </si>
  <si>
    <t>W-95</t>
  </si>
  <si>
    <t>Cushion on rollout</t>
  </si>
  <si>
    <t>Headroom between the planned rollout and the labour-only break-even rollout. Where the plan sits below it, the labour engine alone does not clear build plus a year of run cost at that rollout.</t>
  </si>
  <si>
    <t>Break-even here means net annual benefit falls to zero with the fraud, capture-gate, synthetic-media and renewal lines all set to zero. Build cost is excluded because it is a one-off; see payback.</t>
  </si>
  <si>
    <t xml:space="preserve">  PART K  —  CLAIM FREQUENCY RECONCILIATION  ·  does the modelled claim count stand up against the policy count?</t>
  </si>
  <si>
    <t>W-96</t>
  </si>
  <si>
    <t>Motor OD gross direct premium</t>
  </si>
  <si>
    <t>A-01.</t>
  </si>
  <si>
    <t>W-97</t>
  </si>
  <si>
    <t>B-21.</t>
  </si>
  <si>
    <t>W-98</t>
  </si>
  <si>
    <t>Implied Motor OD policies in force</t>
  </si>
  <si>
    <t>policies</t>
  </si>
  <si>
    <t>W-96 divided by W-97.</t>
  </si>
  <si>
    <t>W-99</t>
  </si>
  <si>
    <t>Modelled annual claim count, full book</t>
  </si>
  <si>
    <t>W-05. Independent of rollout.</t>
  </si>
  <si>
    <t>W-100</t>
  </si>
  <si>
    <t>IMPLIED CLAIM FREQUENCY</t>
  </si>
  <si>
    <t>W-99 divided by W-98.</t>
  </si>
  <si>
    <t>W-101</t>
  </si>
  <si>
    <t>Industry reference band, motor own damage</t>
  </si>
  <si>
    <t>0.05</t>
  </si>
  <si>
    <t>Lower bound of the 5 to 15 per cent norm.</t>
  </si>
  <si>
    <t>W-102</t>
  </si>
  <si>
    <t>CHECK  —  frequency sits inside the industry band</t>
  </si>
  <si>
    <t>text</t>
  </si>
  <si>
    <t>Integrity check on B-01 and B-21 together.</t>
  </si>
  <si>
    <t>B-01 average claim size and B-21 average premium are independent Tier 4 inputs. Taken together they reconcile to a claim frequency inside the industry norm, which is the cross-check that makes both defensible. The count is built on net incurred claims, so a gross-basis reading sits higher in the band.</t>
  </si>
  <si>
    <t xml:space="preserve">  PART L  —  CORRELATED STRESS TEST  ·  what happens when several assumptions miss at the same time</t>
  </si>
  <si>
    <t>Lever / output</t>
  </si>
  <si>
    <t>A  Operating reality</t>
  </si>
  <si>
    <t>B  Fraud disappoints</t>
  </si>
  <si>
    <t>C  Adoption drag</t>
  </si>
  <si>
    <t>D  ALL THREE TOGETHER</t>
  </si>
  <si>
    <t>Baseline cost per manual touch</t>
  </si>
  <si>
    <t>Post-implementation cost per touch</t>
  </si>
  <si>
    <t>Baseline manual touches per claim</t>
  </si>
  <si>
    <t>Fraud detection rate, target</t>
  </si>
  <si>
    <t>L-05</t>
  </si>
  <si>
    <t>Fraud leakage pool</t>
  </si>
  <si>
    <t>L-06</t>
  </si>
  <si>
    <t>Synthetic-media incidence</t>
  </si>
  <si>
    <t>L-07</t>
  </si>
  <si>
    <t>L-08</t>
  </si>
  <si>
    <t>L-09</t>
  </si>
  <si>
    <t>L-10</t>
  </si>
  <si>
    <t>Live-capture friction</t>
  </si>
  <si>
    <t>L-11</t>
  </si>
  <si>
    <t>L-12</t>
  </si>
  <si>
    <t>L-13</t>
  </si>
  <si>
    <t>Annual claims value on the platform</t>
  </si>
  <si>
    <t>L-14</t>
  </si>
  <si>
    <t>L-15</t>
  </si>
  <si>
    <t>Fraud avoided: graph and capture gate</t>
  </si>
  <si>
    <t>L-16</t>
  </si>
  <si>
    <t>Synthetic-media exposure avoided</t>
  </si>
  <si>
    <t>L-17</t>
  </si>
  <si>
    <t>L-18</t>
  </si>
  <si>
    <t>L-19</t>
  </si>
  <si>
    <t>L-20</t>
  </si>
  <si>
    <t>L-21</t>
  </si>
  <si>
    <t>L-22</t>
  </si>
  <si>
    <t>Retained share of the Base net benefit</t>
  </si>
  <si>
    <t>L-23</t>
  </si>
  <si>
    <t>Year 1 net cash flow</t>
  </si>
  <si>
    <t>L-24</t>
  </si>
  <si>
    <t>Year 2 net cash flow</t>
  </si>
  <si>
    <t>L-25</t>
  </si>
  <si>
    <t>Year 3 net cash flow</t>
  </si>
  <si>
    <t>L-26</t>
  </si>
  <si>
    <t>Year 4 net cash flow</t>
  </si>
  <si>
    <t>L-27</t>
  </si>
  <si>
    <t>Year 5 net cash flow</t>
  </si>
  <si>
    <t>L-28</t>
  </si>
  <si>
    <t>5-YEAR NPV at 12%</t>
  </si>
  <si>
    <t>L-29</t>
  </si>
  <si>
    <t>L-30</t>
  </si>
  <si>
    <t>L-31</t>
  </si>
  <si>
    <t>INVESTOR GATE  —  is 5-year NPV still positive?</t>
  </si>
  <si>
    <t>test</t>
  </si>
  <si>
    <t>Each of A, B and C is a coherent way the plan could disappoint, and each on its own leaves a strong case. D applies all three at once. The build is Rs 9.89 Cr; the point of this block is that even the combined case repays it and stays NPV positive.</t>
  </si>
  <si>
    <t>A moves the operating assumptions to in-house handling at Rs 83 a touch and five baseline touches. B lands fraud detection at 82%, halves the leakage pool and cuts synthetic-media incidence to a quarter. C holds rollout at 35%, green lane at 50% and doubles live-capture friction.</t>
  </si>
  <si>
    <t xml:space="preserve">  PART M  —  THE SAME CASE ON THREE NET-EARNED-PREMIUM BASES  ·  the model runs on P-01</t>
  </si>
  <si>
    <t>NEP ratio</t>
  </si>
  <si>
    <t>Motor OD NEP</t>
  </si>
  <si>
    <t>Claims pool</t>
  </si>
  <si>
    <t>Payback from kickoff</t>
  </si>
  <si>
    <t>Comb. ratio, pp</t>
  </si>
  <si>
    <t>Whole-book FY2026  (MODEL DEFAULT)</t>
  </si>
  <si>
    <t>Whole-book Q1 FY2027</t>
  </si>
  <si>
    <t>Motor OD retention cohort</t>
  </si>
  <si>
    <t>P-01 is the filed whole-book basis and is the number the deck quotes. Motor OD retention runs above the whole-book blend, so P-03 is the more representative basis for a Motor-OD-only book and the case is stronger on it. The gap between the three is the size of the conservatism in the headline.</t>
  </si>
  <si>
    <t>Three-Year Forecast</t>
  </si>
  <si>
    <t>One block per implementation plan. Year 0 is the 10-month build with no benefit. Benefit ramps through Year 1 and reaches steady state in Year 3. Run cost is charged in full from Year 1, which is deliberately conservative.</t>
  </si>
  <si>
    <t xml:space="preserve">  CONSERVATIVE  ·  20% rollout</t>
  </si>
  <si>
    <t>Line</t>
  </si>
  <si>
    <t>3-yr total</t>
  </si>
  <si>
    <t>Benefit realisation factor</t>
  </si>
  <si>
    <t>Market growth factor</t>
  </si>
  <si>
    <t>F-03</t>
  </si>
  <si>
    <t>Claims processed</t>
  </si>
  <si>
    <t>F-04</t>
  </si>
  <si>
    <t>Gross benefit</t>
  </si>
  <si>
    <t>F-05</t>
  </si>
  <si>
    <t>F-06</t>
  </si>
  <si>
    <t>F-07</t>
  </si>
  <si>
    <t>NET BENEFIT</t>
  </si>
  <si>
    <t>F-08</t>
  </si>
  <si>
    <t>Risk-adjusted net benefit</t>
  </si>
  <si>
    <t>F-09</t>
  </si>
  <si>
    <t>Cumulative net position</t>
  </si>
  <si>
    <t xml:space="preserve">  BASE  ·  60% rollout</t>
  </si>
  <si>
    <t xml:space="preserve">  AGGRESSIVE  ·  100% rollout</t>
  </si>
  <si>
    <t xml:space="preserve">  FORECAST SUMMARY  —  ALL THREE PLANS</t>
  </si>
  <si>
    <t>FS-01</t>
  </si>
  <si>
    <t>Build cost (Year 0)</t>
  </si>
  <si>
    <t>FS-02</t>
  </si>
  <si>
    <t>FS-03</t>
  </si>
  <si>
    <t>3-year net benefit, risk-adjusted</t>
  </si>
  <si>
    <t>FS-04</t>
  </si>
  <si>
    <t>FS-05</t>
  </si>
  <si>
    <t>Payback from kickoff includes the ten-month build window before any benefit accrues. This is the project-basis figure and the one the deck quotes; the steady-state figure on Sheet 3 Part F is shorter because it excludes the build window.</t>
  </si>
  <si>
    <t>Investor Metrics</t>
  </si>
  <si>
    <t>Unit economics, project DCF, ROIC and capital allocation. Every figure reads Sheets 2 to 4, so all three plans move together when an input changes.</t>
  </si>
  <si>
    <t xml:space="preserve">  PART A  —  UNIT ECONOMICS  ·  per claim</t>
  </si>
  <si>
    <t>UE-01</t>
  </si>
  <si>
    <t>Cost to serve per claim  —  TODAY</t>
  </si>
  <si>
    <t>Baseline touches (B-02) x baseline cost per touch (B-28). Identical in all three plans.</t>
  </si>
  <si>
    <t>UE-02</t>
  </si>
  <si>
    <t>Lane-weighted from the Trust Score routing.</t>
  </si>
  <si>
    <t>UE-03</t>
  </si>
  <si>
    <t>Cost to serve per claim  —  AFTER</t>
  </si>
  <si>
    <t>Blended touches x cost per touch.</t>
  </si>
  <si>
    <t>UE-04</t>
  </si>
  <si>
    <t>Labour saving per claim</t>
  </si>
  <si>
    <t>UE-01 less UE-03. The per-unit prize.</t>
  </si>
  <si>
    <t>UE-05</t>
  </si>
  <si>
    <t>Run cost per claim</t>
  </si>
  <si>
    <t>Total annual run cost / annual claims processed.</t>
  </si>
  <si>
    <t>UE-06</t>
  </si>
  <si>
    <t>Fraud and synthetic exposure avoided per claim</t>
  </si>
  <si>
    <t>All three fraud lines spread across claims processed.</t>
  </si>
  <si>
    <t>UE-07</t>
  </si>
  <si>
    <t>NET BENEFIT PER CLAIM</t>
  </si>
  <si>
    <t>Net annual benefit / annual claims. The true per-unit economics.</t>
  </si>
  <si>
    <t>UE-08</t>
  </si>
  <si>
    <t>Cost to serve as % of claim value  —  today</t>
  </si>
  <si>
    <t>Sanity check against the Rs 45,000 average claim.</t>
  </si>
  <si>
    <t>UE-09</t>
  </si>
  <si>
    <t>Cost to serve as % of claim value  —  after</t>
  </si>
  <si>
    <t>Including platform run cost per claim.</t>
  </si>
  <si>
    <t>UE-10</t>
  </si>
  <si>
    <t>Claim TAT per claim</t>
  </si>
  <si>
    <t>On-platform, after live-capture friction. 9.8 days today.</t>
  </si>
  <si>
    <t>UE-11</t>
  </si>
  <si>
    <t>Break-even rollout, labour only</t>
  </si>
  <si>
    <t>Rollout at which labour savings alone cover build plus a full year of run cost. Includes run cost, unlike a naive calculation.</t>
  </si>
  <si>
    <t xml:space="preserve">  PART B  —  PROJECT DCF AND NPV  ·  5 years, same ramp convention as Sheet 4</t>
  </si>
  <si>
    <t>Discount factor</t>
  </si>
  <si>
    <t>Note</t>
  </si>
  <si>
    <t>DC-00</t>
  </si>
  <si>
    <t>Year 0  —  10-month build</t>
  </si>
  <si>
    <t>Build cost only. No benefit accrues before go-live.</t>
  </si>
  <si>
    <t>DC-01</t>
  </si>
  <si>
    <t>Year 1  —  benefit ramping</t>
  </si>
  <si>
    <t>Gross benefit x realisation x growth, less run cost.</t>
  </si>
  <si>
    <t>DC-02</t>
  </si>
  <si>
    <t>DC-03</t>
  </si>
  <si>
    <t>DC-04</t>
  </si>
  <si>
    <t>Year 4  —  steady state</t>
  </si>
  <si>
    <t>DC-05</t>
  </si>
  <si>
    <t>Year 5  —  steady state</t>
  </si>
  <si>
    <t>DC-06</t>
  </si>
  <si>
    <t>5-year cumulative, undiscounted</t>
  </si>
  <si>
    <t>Sum of the six rows above.</t>
  </si>
  <si>
    <t>DC-07</t>
  </si>
  <si>
    <t>Net cash flow x discount factor.</t>
  </si>
  <si>
    <t>DC-08</t>
  </si>
  <si>
    <t>5-year IRR</t>
  </si>
  <si>
    <t>A small fixed build against a very large claims pool produces a high IRR. Carried in the annexure; payback and combined ratio lead.</t>
  </si>
  <si>
    <t xml:space="preserve">  PART C  —  ROIC AND EVA</t>
  </si>
  <si>
    <t>RE-01</t>
  </si>
  <si>
    <t>From Sheet 3 Part F.</t>
  </si>
  <si>
    <t>RE-02</t>
  </si>
  <si>
    <t>Net annual benefit, realistic downside</t>
  </si>
  <si>
    <t>In-house touch cost, fraud at 82%, no synthetic or renewal benefit.</t>
  </si>
  <si>
    <t>RE-03</t>
  </si>
  <si>
    <t>Capital deployed  —  build only</t>
  </si>
  <si>
    <t>From Sheet 3 Part D.</t>
  </si>
  <si>
    <t>RE-04</t>
  </si>
  <si>
    <t>Capital deployed  —  fully loaded</t>
  </si>
  <si>
    <t>Build plus 15% contingency.</t>
  </si>
  <si>
    <t>RE-05</t>
  </si>
  <si>
    <t>Hurdle rate (WACC)</t>
  </si>
  <si>
    <t>A-09.</t>
  </si>
  <si>
    <t>RE-06</t>
  </si>
  <si>
    <t>ROIC  —  headline, on fully loaded capital</t>
  </si>
  <si>
    <t>Steady-state net benefit / fully loaded capital.</t>
  </si>
  <si>
    <t>RE-07</t>
  </si>
  <si>
    <t>ROIC  —  realistic downside</t>
  </si>
  <si>
    <t>The downside-basis return, and the one quoted whenever ROIC comes up.</t>
  </si>
  <si>
    <t>RE-08</t>
  </si>
  <si>
    <t>EVA at the 12% hurdle  —  headline</t>
  </si>
  <si>
    <t>Net benefit less the cost of the capital employed.</t>
  </si>
  <si>
    <t>RE-09</t>
  </si>
  <si>
    <t>EVA at the 12% hurdle  —  downside</t>
  </si>
  <si>
    <t>Still comfortably positive, which is the point.</t>
  </si>
  <si>
    <t>RE-10</t>
  </si>
  <si>
    <t>Investor gate: does downside ROIC clear WACC?</t>
  </si>
  <si>
    <t>Tested on the downside case, not the headline.</t>
  </si>
  <si>
    <t>ROIC on this project is high because a small software build sits against a Rs 1,106 Cr claims pool. The deck leads with payback from kickoff and combined-ratio impact, which are the measures that scale to the size of the book.</t>
  </si>
  <si>
    <t xml:space="preserve">  PART D  —  CAPITAL ALLOCATION: BUILD vs BUY vs WAIT</t>
  </si>
  <si>
    <t>Alternative</t>
  </si>
  <si>
    <t>3-yr TCO (Rs Cr)</t>
  </si>
  <si>
    <t>Time to value</t>
  </si>
  <si>
    <t>Strategic control</t>
  </si>
  <si>
    <t>Data moat</t>
  </si>
  <si>
    <t>Status of the estimate</t>
  </si>
  <si>
    <t>Status quo: OTS plus manual handling</t>
  </si>
  <si>
    <t>Immediate</t>
  </si>
  <si>
    <t>High</t>
  </si>
  <si>
    <t>None</t>
  </si>
  <si>
    <t>Zero capex, but carries the cost of waiting quantified below.</t>
  </si>
  <si>
    <t>Buy point solutions (OCR, or fraud rules, or photo estimate)</t>
  </si>
  <si>
    <t>Excluded on capability</t>
  </si>
  <si>
    <t>6-12 months</t>
  </si>
  <si>
    <t>Low</t>
  </si>
  <si>
    <t>Point solutions address one signal each. None fuses document, damage, policy, graph and capture evidence into a single routing decision, so none removes the manual reconciliation step that drives the labour line. Excluded on capability before price.</t>
  </si>
  <si>
    <t>Buy a fused vendor platform</t>
  </si>
  <si>
    <t>Live elsewhere</t>
  </si>
  <si>
    <t>A fused platform covers three of the five engines and screens no synthetic damage media, which is the evidence layer every other engine depends on. Excluded on capability before price.</t>
  </si>
  <si>
    <t>BUILD ClaimPulse  —  Conservative</t>
  </si>
  <si>
    <t>10-11 months</t>
  </si>
  <si>
    <t>Full</t>
  </si>
  <si>
    <t>Build cost plus three years of run cost, from this model.</t>
  </si>
  <si>
    <t>BUILD ClaimPulse  —  Base</t>
  </si>
  <si>
    <t>BUILD ClaimPulse  —  Aggressive</t>
  </si>
  <si>
    <t>Wait for motor pricing to correct</t>
  </si>
  <si>
    <t>3-6 months</t>
  </si>
  <si>
    <t>N/A</t>
  </si>
  <si>
    <t>Management has said the tactical motor pull-back continues until pricing improves. Waiting is a decision with a cost.</t>
  </si>
  <si>
    <t>BUY the commodity AI layer inside the build  —  quantified</t>
  </si>
  <si>
    <t>Sheet 13 prices the GenAI-substitutable share of inference on published vendor rates. Buying that layer is the cheaper route and is adopted inside the build; the moat and baseline layers stay in house.</t>
  </si>
  <si>
    <t xml:space="preserve">  PART E  —  THE COST OF WAITING  ·  the alternative is not free</t>
  </si>
  <si>
    <t>Source / how it is derived</t>
  </si>
  <si>
    <t>CW-01</t>
  </si>
  <si>
    <t>Motor OD loss ratio deterioration, Q1 FY27 vs Q1 FY26</t>
  </si>
  <si>
    <t>I-01. Filed: 74.9% to 76.6%.</t>
  </si>
  <si>
    <t>CW-02</t>
  </si>
  <si>
    <t>Annual rupee cost of that deterioration</t>
  </si>
  <si>
    <t>Motor OD net earned premium x the pp movement. Directional.</t>
  </si>
  <si>
    <t>CW-03</t>
  </si>
  <si>
    <t>Monthly opportunity cost of delay, Base plan</t>
  </si>
  <si>
    <t>Every month of delay forgoes one month of net benefit.</t>
  </si>
  <si>
    <t>CW-04</t>
  </si>
  <si>
    <t>Cost of a six-month delay, Base plan</t>
  </si>
  <si>
    <t>Six months of forgone net benefit.</t>
  </si>
  <si>
    <t>Stakeholder Analysis</t>
  </si>
  <si>
    <t>Who is affected, what changes for them, and how each stakeholder's outcome is measured in this model. Every success metric maps to a line on Sheets 1 to 5.</t>
  </si>
  <si>
    <t xml:space="preserve">  PART A  —  STAKEHOLDER MAP</t>
  </si>
  <si>
    <t>What they need today</t>
  </si>
  <si>
    <t>What ClaimPulse changes</t>
  </si>
  <si>
    <t>Success metric</t>
  </si>
  <si>
    <t>Where it sits in this model</t>
  </si>
  <si>
    <t>SH-01</t>
  </si>
  <si>
    <t>Policyholder / claimant</t>
  </si>
  <si>
    <t>Certainty and speed. Our research found status apps are abandoned after 2 to 3 silent visits.</t>
  </si>
  <si>
    <t>Green-lane auto-settlement in about 1.5 days instead of 9.8. Proactive status push instead of pull.</t>
  </si>
  <si>
    <t>Blended claim TAT; app abandonment; claimant renewal rate</t>
  </si>
  <si>
    <t>Sheet 2 H-03, H-04, H-05. Sheet 3 Part B.</t>
  </si>
  <si>
    <t>SH-02</t>
  </si>
  <si>
    <t>Bajaj General claims operations</t>
  </si>
  <si>
    <t>Fewer low-value manual touches, and capacity for genuinely complex claims.</t>
  </si>
  <si>
    <t>7 manual touches to 1.23 blended. Adjusters move from data entry to exception handling.</t>
  </si>
  <si>
    <t>Touches per claim; cost to serve; adjuster throughput</t>
  </si>
  <si>
    <t>Sheet 2 H-06. Sheet 5 UE-01 to UE-04.</t>
  </si>
  <si>
    <t>SH-03</t>
  </si>
  <si>
    <t>Underwriting and the CFO</t>
  </si>
  <si>
    <t>Loss-ratio and expense-ratio relief without cutting distribution.</t>
  </si>
  <si>
    <t>Fraud leakage down and claims OPEX down. Both sides of the combined ratio move.</t>
  </si>
  <si>
    <t>Combined ratio pp; loss ratio pp; expense ratio pp</t>
  </si>
  <si>
    <t>Sheet 3 Part G. Sheet 2 H-15, H-16.</t>
  </si>
  <si>
    <t>SH-04</t>
  </si>
  <si>
    <t>A differentiated distribution proposition and a platform asset the group owns.</t>
  </si>
  <si>
    <t>Owns the Trust Score engine and the Capture Integrity Gate as a group capability, extensible to health and home in P5.</t>
  </si>
  <si>
    <t>Platform reuse; partner adoption; NPS at claim</t>
  </si>
  <si>
    <t>Sheet 5 Part D. Sheet 3 W-22 renewal line.</t>
  </si>
  <si>
    <t>SH-05</t>
  </si>
  <si>
    <t>Bajaj Finserv group leadership</t>
  </si>
  <si>
    <t>Capital allocated to something that compounds, not a one-off saving.</t>
  </si>
  <si>
    <t>A proprietary fraud graph and synthetic-media defence that improve with every claim processed.</t>
  </si>
  <si>
    <t>ROIC vs hurdle; payback; NPV; strategic control</t>
  </si>
  <si>
    <t>Sheet 5 Parts B, C and D.</t>
  </si>
  <si>
    <t>SH-06</t>
  </si>
  <si>
    <t>Deployment against claims that actually need judgement.</t>
  </si>
  <si>
    <t>AI triage handles sub-Rs 50,000 claims inside the IRDAI exemption. Surveyors focus above it.</t>
  </si>
  <si>
    <t>Surveyor cost per claim; share of claims requiring survey</t>
  </si>
  <si>
    <t>Sheet 1 A-11. Sheet 3 Part B lane mix.</t>
  </si>
  <si>
    <t>SH-07</t>
  </si>
  <si>
    <t>Garages and the repair network</t>
  </si>
  <si>
    <t>Faster approvals and predictable estimates.</t>
  </si>
  <si>
    <t>The repair cost engine gives an indicative band at first notification, from settled claims plus live parts feeds.</t>
  </si>
  <si>
    <t>Estimate-to-approval time; estimate vs final variance</t>
  </si>
  <si>
    <t>Sheet 1 D-07. Sheet 3 Part D.</t>
  </si>
  <si>
    <t>SH-08</t>
  </si>
  <si>
    <t>IRDAI and the regulator</t>
  </si>
  <si>
    <t>Explainable, auditable, fair automated decisions.</t>
  </si>
  <si>
    <t>Human override, full audit trail and per-decision explanation, built into production hardening. RAG grounds decisions in the actual policy wording.</t>
  </si>
  <si>
    <t>Audit completeness; override rate; complaint volume</t>
  </si>
  <si>
    <t>Sheet 1 D-10. Sheet 3 Part D.</t>
  </si>
  <si>
    <t>SH-09</t>
  </si>
  <si>
    <t>Honest claimants who cannot use live capture</t>
  </si>
  <si>
    <t>Not to be penalised for an older phone, indoor parking or GPS off.</t>
  </si>
  <si>
    <t>Amber lane absorbs them with an innocent explanation rather than a rejection. We cost this friction explicitly.</t>
  </si>
  <si>
    <t>Share downgraded green to amber; amber false-positive rate</t>
  </si>
  <si>
    <t>Sheet 1 B-20. Sheet 3 W-23.</t>
  </si>
  <si>
    <t xml:space="preserve">  PART B  —  WHAT EACH STAKEHOLDER WILL CHALLENGE, AND THE ANSWER</t>
  </si>
  <si>
    <t>Who asks</t>
  </si>
  <si>
    <t>The challenge</t>
  </si>
  <si>
    <t>Our answer</t>
  </si>
  <si>
    <t>Where the evidence is</t>
  </si>
  <si>
    <t>CQ-01</t>
  </si>
  <si>
    <t>Seven manual touches is not our number.</t>
  </si>
  <si>
    <t>Agreed, it is ours, and it is the largest single driver of the labour line. We have flagged it as Tier 4 and the model recalculates the moment you give us the real figure.</t>
  </si>
  <si>
    <t>Sheet 1 B-02 and H-04.</t>
  </si>
  <si>
    <t>CQ-02</t>
  </si>
  <si>
    <t>CFO / finance</t>
  </si>
  <si>
    <t>A three-month payback is not credible.</t>
  </si>
  <si>
    <t>On steady-state economics it is three months. From project kickoff, including the ten-month build, it is around eighteen. And if both our weakest assumptions break it is still under nine months.</t>
  </si>
  <si>
    <t>Sheet 2 H-12, H-13, H-19.</t>
  </si>
  <si>
    <t>CQ-03</t>
  </si>
  <si>
    <t>Rs 250 per touch is outsourced pricing. Our staff are in-house.</t>
  </si>
  <si>
    <t>Correct, and that is why the downside case reprices every touch at Rs 83. The case still clears.</t>
  </si>
  <si>
    <t>Sheet 1 F-01. Sheet 3 Part H.</t>
  </si>
  <si>
    <t>CQ-04</t>
  </si>
  <si>
    <t>Underwriting</t>
  </si>
  <si>
    <t>You cannot subtract a Motor OD saving from our group combined ratio.</t>
  </si>
  <si>
    <t>We do not. The model shows both bases separately, and states the denominator on every line.</t>
  </si>
  <si>
    <t>Sheet 3 W-43 and W-46.</t>
  </si>
  <si>
    <t>CQ-05</t>
  </si>
  <si>
    <t>Actuarial</t>
  </si>
  <si>
    <t>Your fraud leakage number comes from health insurance.</t>
  </si>
  <si>
    <t>No motor-specific Indian leakage figure is published. The proxy is stated with its basis, and closing it is the second data request.</t>
  </si>
  <si>
    <t>Sheet 1 B-17 and H-01.</t>
  </si>
  <si>
    <t>CQ-06</t>
  </si>
  <si>
    <t>Data science</t>
  </si>
  <si>
    <t>Ninety percent fraud precision is above the published range for graph models.</t>
  </si>
  <si>
    <t>It is a target, not a capability, and we label it that way. The downside case lands it at 82%.</t>
  </si>
  <si>
    <t>Sheet 1 B-14 and F-02.</t>
  </si>
  <si>
    <t>CQ-07</t>
  </si>
  <si>
    <t>Group finance</t>
  </si>
  <si>
    <t>Rs 38 Cr a year is under half a percent of group PAT.</t>
  </si>
  <si>
    <t>On Motor OD alone, yes. Motor is the proof, not the prize. The gate and the graph extend to health and home in P5 without re-architecture.</t>
  </si>
  <si>
    <t>Sheet 5 Part D. Implementation roadmap P5.</t>
  </si>
  <si>
    <t>CQ-08</t>
  </si>
  <si>
    <t>Legal and compliance</t>
  </si>
  <si>
    <t>Live-capture-only will exclude some honest claimants.</t>
  </si>
  <si>
    <t>It will, and we cost it. Eight percent of claims fall to amber, which is a Rs 0.53 Cr annual cost at Base. They are still handled, just not auto-settled.</t>
  </si>
  <si>
    <t>CQ-09</t>
  </si>
  <si>
    <t>Strategy</t>
  </si>
  <si>
    <t>What stops a competitor copying this in eighteen months?</t>
  </si>
  <si>
    <t>The orchestration is copyable. The fraud graph and the synthetic-media classifier are trained on our own claim media and compound with every claim processed. That is the moat, and it is why the gate is costed as a first-class layer rather than a footnote.</t>
  </si>
  <si>
    <t>Sheet 1 D-03 to D-05 and D-13.</t>
  </si>
  <si>
    <t>CQ-10</t>
  </si>
  <si>
    <t>Anyone</t>
  </si>
  <si>
    <t>Why is BFDL funding a benefit that lands in Bajaj General's P&amp;L?</t>
  </si>
  <si>
    <t>At group level Bajaj Finserv consolidates both. It is a capital allocation question, not a transfer question. We would still recommend an explicit internal service arrangement.</t>
  </si>
  <si>
    <t>Sheet 1 H-07.</t>
  </si>
  <si>
    <t xml:space="preserve">  PART C  —  QUANTIFIED STAKEHOLDER SCORECARD  ·  every row is a formula reading Sheet 3 Part I, and every row moves with the plan</t>
  </si>
  <si>
    <t>Quantified outcome</t>
  </si>
  <si>
    <t>SC-01</t>
  </si>
  <si>
    <t>SH-01  Policyholder / claimant</t>
  </si>
  <si>
    <t>SC-02</t>
  </si>
  <si>
    <t>SC-03</t>
  </si>
  <si>
    <t>Blended claim TAT across the whole book</t>
  </si>
  <si>
    <t>SC-04</t>
  </si>
  <si>
    <t>SC-05</t>
  </si>
  <si>
    <t>SH-02  Bajaj General claims operations</t>
  </si>
  <si>
    <t>SC-06</t>
  </si>
  <si>
    <t>FTE capacity released to complex claims</t>
  </si>
  <si>
    <t>SC-07</t>
  </si>
  <si>
    <t>Expense-ratio value booked</t>
  </si>
  <si>
    <t>SC-08</t>
  </si>
  <si>
    <t>SH-03  Underwriting and the CFO</t>
  </si>
  <si>
    <t>Loss-ratio value booked</t>
  </si>
  <si>
    <t>SC-09</t>
  </si>
  <si>
    <t>Combined ratio improvement, Motor OD basis</t>
  </si>
  <si>
    <t>SC-10</t>
  </si>
  <si>
    <t>SH-04  BFDL / Bajaj Markets</t>
  </si>
  <si>
    <t>Distribution income retained per year</t>
  </si>
  <si>
    <t>SC-11</t>
  </si>
  <si>
    <t>SH-05  Bajaj Finserv group leadership</t>
  </si>
  <si>
    <t>SC-12</t>
  </si>
  <si>
    <t>Share of the annualised underwriting loss offset</t>
  </si>
  <si>
    <t>SC-13</t>
  </si>
  <si>
    <t>SH-06  Surveyors</t>
  </si>
  <si>
    <t>Physical survey visits avoided per year</t>
  </si>
  <si>
    <t>SC-14</t>
  </si>
  <si>
    <t>SH-07  Garages and the repair network</t>
  </si>
  <si>
    <t>Estimate-to-approval days saved per claim</t>
  </si>
  <si>
    <t>SC-15</t>
  </si>
  <si>
    <t>SH-08  IRDAI and the regulator</t>
  </si>
  <si>
    <t>Build spend on governance and explainability</t>
  </si>
  <si>
    <t>SC-16</t>
  </si>
  <si>
    <t>Annual run spend on compliance and legal</t>
  </si>
  <si>
    <t>SC-17</t>
  </si>
  <si>
    <t>SH-09  Honest claimants who cannot use live capture</t>
  </si>
  <si>
    <t>Claimants downgraded green to amber per year</t>
  </si>
  <si>
    <t>SC-18</t>
  </si>
  <si>
    <t>Cost we carry for them, stated openly</t>
  </si>
  <si>
    <t>Rows SC-01 to SC-16 are the case for the investment. Rows SC-17 and SC-18 are the cost the design imposes on people who did nothing wrong, and they are quoted unprompted.</t>
  </si>
  <si>
    <t>Trend Analysis  ·  the exogenous forces this case is planned against</t>
  </si>
  <si>
    <t>A TREND is a force we do not control. A SCENARIO is a coherent combination of trends that changes the claim environment, and therefore the numbers. No trend becomes a figure unless it survives the evidence class test below.</t>
  </si>
  <si>
    <t>SOURCING STANDARD: every external figure below carries a named publisher, a publication date and an evidence class. Figures verified against a live source on 12 August 2026 are marked VERIFIED. Figures carried at a lower tier say so, and none of them is load-bearing on a rupee line.</t>
  </si>
  <si>
    <t>SCOPE: this sheet consolidates the trend field across four research domains — Customer, Technology, Social and Industrial. Part 2 carries the full 20-trend vector map.</t>
  </si>
  <si>
    <t>PART 1  —  THE TREND FIELD  ·  named, dated and independently verified</t>
  </si>
  <si>
    <t>Domain</t>
  </si>
  <si>
    <t>Trend</t>
  </si>
  <si>
    <t>Evidence class</t>
  </si>
  <si>
    <t>Named source</t>
  </si>
  <si>
    <t>Date</t>
  </si>
  <si>
    <t>Verified</t>
  </si>
  <si>
    <t>Feeds</t>
  </si>
  <si>
    <t>T-01</t>
  </si>
  <si>
    <t>Consumer</t>
  </si>
  <si>
    <t>Digital-first settlement is the default expectation, carried over from UPI and digital KYC rather than from insurance</t>
  </si>
  <si>
    <t>EXT BENCHMARK</t>
  </si>
  <si>
    <t>Mordor Intelligence, Online Insurance in India: mobile app 56.1% and P&amp;C 41.8% of the ONLINE insurance market</t>
  </si>
  <si>
    <t>2025 base</t>
  </si>
  <si>
    <t>VERIFIED — shares are within India’s online insurance market</t>
  </si>
  <si>
    <t>S1</t>
  </si>
  <si>
    <t>T-02</t>
  </si>
  <si>
    <t>Only a minority of consumers are comfortable with AI deciding a claim unaided</t>
  </si>
  <si>
    <t>Insurity Consumer Survey: support for AI 20% to 39%; only 22% comfortable with AI filing a claim; 46% would let AI generate a quote</t>
  </si>
  <si>
    <t>Feb 2026 fieldwork, published 21 Apr 2026</t>
  </si>
  <si>
    <t>VERIFIED — US consumers, n over 1,000</t>
  </si>
  <si>
    <t>S3</t>
  </si>
  <si>
    <t>T-03</t>
  </si>
  <si>
    <t>Social</t>
  </si>
  <si>
    <t>Claims experience ranks second only to price as a retention driver</t>
  </si>
  <si>
    <t>Retently 2025 (insurance NPS 23) and CustomerGauge (35); QuestionPro: every 5-point NPS gain is about 1pp of retention</t>
  </si>
  <si>
    <t>2025-26</t>
  </si>
  <si>
    <t>VERIFIED — note all three reach us through one compilation, so treat as a single secondary source</t>
  </si>
  <si>
    <t>S1, S3</t>
  </si>
  <si>
    <t>T-04</t>
  </si>
  <si>
    <t>Technology</t>
  </si>
  <si>
    <t>Generative image tools have made photographic evidence cheap to fabricate; deepfake-assisted fraud attempts reported sharply up</t>
  </si>
  <si>
    <t>NVIDIA customer story on ControlExpert: 95% accuracy detecting manipulated images within three seconds, motor claims, on NVIDIA AI Enterprise</t>
  </si>
  <si>
    <t>VERIFIED — vendor and customer-story tier, correctly labelled Tier 3</t>
  </si>
  <si>
    <t>S2</t>
  </si>
  <si>
    <t>T-05</t>
  </si>
  <si>
    <t>Graph and network methods lift fraud detection by roughly 10 to 20 pp over rule engines</t>
  </si>
  <si>
    <t>Systematic review of graph and GNN fraud detection</t>
  </si>
  <si>
    <t>TIER 2 — carried at stated tier; bounds a target that is separately stress-tested</t>
  </si>
  <si>
    <t>T-06</t>
  </si>
  <si>
    <t>Vendor straight-through processing ceilings for simple motor claims sit at 75 to 85 per cent</t>
  </si>
  <si>
    <t>Vendor published STP ceilings; industry all-complexity range 7 to 35%</t>
  </si>
  <si>
    <t>TIER 2 — carried at stated tier</t>
  </si>
  <si>
    <t>T-07</t>
  </si>
  <si>
    <t>Industry</t>
  </si>
  <si>
    <t>Repair networks consolidating toward API-connected claims-to-repair chains; telematics-linked flows report up to 50 per cent cycle-time reduction</t>
  </si>
  <si>
    <t>Telematics cycle-time research, global, not India or Motor OD specific. Autorox (India) separately claims up to 25% reduction in overpaid repair approvals</t>
  </si>
  <si>
    <t>PARTIAL — Autorox 25% VERIFIED on the vendor’s own site; the 50% telematics figure is carried at TIER 2</t>
  </si>
  <si>
    <t>S4</t>
  </si>
  <si>
    <t>T-08</t>
  </si>
  <si>
    <t>General insurance is in a soft pricing cycle; underwriting results stressed across the market</t>
  </si>
  <si>
    <t>FACT</t>
  </si>
  <si>
    <t>Bajaj Finserv Q1 FY27 investor presentation and earnings call, 31 Jul 2026. Bajaj General combined ratio 104.7%, GWP Rs 5,789 Cr up 11.3%, solvency 254%</t>
  </si>
  <si>
    <t>Q1 FY27</t>
  </si>
  <si>
    <t>VERIFIED against the BSE filing</t>
  </si>
  <si>
    <t>T-09</t>
  </si>
  <si>
    <t>Motor deliberately slowed by the client because pricing is inadequate; return-on-risk-capital gates re-entry</t>
  </si>
  <si>
    <t>Bajaj Finserv Q1 FY27 earnings call, management commentary</t>
  </si>
  <si>
    <t>Jul 2026</t>
  </si>
  <si>
    <t>VERIFIED — combined ratio trajectory 103.6% to 104.7% confirmed</t>
  </si>
  <si>
    <t>T-10</t>
  </si>
  <si>
    <t>Supreme Court motor third-party judgment forced peer reserve strengthening of 2.8 pp of combined ratio in one quarter</t>
  </si>
  <si>
    <t>ICICI Lombard Q1 FY27 results. Provision Rs 165 Cr; combined ratio 107.2% against 102.9%; adjusted 102.3%. Judgment recognises loss of domestic care for homemakers at a notional Rs 30,000 per month</t>
  </si>
  <si>
    <t>VERIFIED — 2.8pp exact. Industry motor TP loss ratio expected to rise 12 to 15%</t>
  </si>
  <si>
    <t>Context</t>
  </si>
  <si>
    <t>T-11</t>
  </si>
  <si>
    <t>Regulatory</t>
  </si>
  <si>
    <t>IRDAI moved insurers to proactive, board-governed fraud monitoring with a fraud monitoring committee and unit</t>
  </si>
  <si>
    <t>IRDAI (Insurance Fraud Monitoring Framework) Guidelines, 2025. Ref IRDAI/IID/GDL/MISC/112/10/2025 dated 09.10.2025. Repeals the 2013 circular and extends to all distribution channels</t>
  </si>
  <si>
    <t>Eff. 1 Apr 2026</t>
  </si>
  <si>
    <t>VERIFIED — reference number, date and effective date all exact</t>
  </si>
  <si>
    <t>S2, S5</t>
  </si>
  <si>
    <t>T-12</t>
  </si>
  <si>
    <t>Motor losses below Rs 50,000 need not be surveyed by a registered surveyor; app-based and AI assessment contemplated</t>
  </si>
  <si>
    <t>IRDAI Master Circular on Protection of Policyholders' Interests, 11 Jun 2024. IRDAI: insurers are leveraging app based methodology with AI driven assessment</t>
  </si>
  <si>
    <t>2024, current</t>
  </si>
  <si>
    <t>VERIFIED — threshold and the AI-assessment wording both confirmed</t>
  </si>
  <si>
    <t>T-13</t>
  </si>
  <si>
    <t>IRDAI constituted an AI working group in June 2026. Norms not yet published</t>
  </si>
  <si>
    <t>IRDAI AI Working Group announced 19 Jun 2026. Seven members, chaired by Sandeep Shukla, Director IRDAI Hyderabad. Three-month mandate covering governance frameworks, safeguards and an AI audit framework</t>
  </si>
  <si>
    <t>Jun 2026</t>
  </si>
  <si>
    <t>VERIFIED — and now nameable. Follows IRDAI's revised information and cyber security guidelines of Apr 2026</t>
  </si>
  <si>
    <t>S5</t>
  </si>
  <si>
    <t>T-14</t>
  </si>
  <si>
    <t>No published incidence of synthetic claim media in Indian motor, because the vector is unmeasured</t>
  </si>
  <si>
    <t>NOT SOURCEABLE</t>
  </si>
  <si>
    <t>None exists. Independently rediscovered as a total gap by all four research engines (Customer E31, Technology TE05 and TE08, Social Scenario 2, Industrial IE03)</t>
  </si>
  <si>
    <t>n/a</t>
  </si>
  <si>
    <t>CONFIRMED ABSENT after independent search</t>
  </si>
  <si>
    <t>T-15</t>
  </si>
  <si>
    <t>National data-protection obligations land inside the investment horizon</t>
  </si>
  <si>
    <t>DPDP Rules 2025, notified 13 Nov 2025, full compliance 13 May 2027. Penalties to Rs 250 Cr apply from day one; no grace period</t>
  </si>
  <si>
    <t>VERIFIED — both dates exact</t>
  </si>
  <si>
    <t>T-16</t>
  </si>
  <si>
    <t>Claims are the dominant source of general-insurance grievance, and the pool is growing</t>
  </si>
  <si>
    <t>IRDAI Annual Report 2024-25: 257,790 grievances on Bima Bharosa, up 20% YoY, 69% claims-related. Rajya Sabha reply 16 Dec 2025: motor fell from 26.18% of complaints in FY24 to 24.8% in FY25</t>
  </si>
  <si>
    <t>FY2024-25</t>
  </si>
  <si>
    <t>VERIFIED — both sources confirmed</t>
  </si>
  <si>
    <t>T-17</t>
  </si>
  <si>
    <t>Industry fraud and waste leakage runs at 8 to 10 per cent of payouts, concentrated in the mid-ticket band</t>
  </si>
  <si>
    <t>BCG and Medi Assist, Nov 2025: Rs 8,000 to 10,000 Cr annual leakage, concentrated between Rs 50,000 and Rs 2.5 lakh claim value</t>
  </si>
  <si>
    <t>Nov 2025</t>
  </si>
  <si>
    <t>VERIFIED — BCG and Medi Assist, November 2025. Health-skewed and applied to motor as a proxy; the mid-ticket band corroborates the Rs 45,000 average claim</t>
  </si>
  <si>
    <t>T-18</t>
  </si>
  <si>
    <t>Bajaj already runs a digital-first servicing estate, which is the precondition for evidence-volume growth</t>
  </si>
  <si>
    <t>Bajaj General FY26 investor presentation, 30 Apr 2026: 90.9% digital servicing; AI bots serve 64.5% of customers (chatbot 41.33% plus voicebot 23.2%) across 193.4 MM bot message exchanges; Motor NPS 78</t>
  </si>
  <si>
    <t>FY26</t>
  </si>
  <si>
    <t>VERIFIED — FY26 figures from the 30 April 2026 deck</t>
  </si>
  <si>
    <t>T-19</t>
  </si>
  <si>
    <t>A public insurance marketplace now exists as sector infrastructure</t>
  </si>
  <si>
    <t>Bima Sugam India Federation website launched 17 Sep 2025 at IRDAI Hyderabad by Chairman Ajay Seth; phase I from Dec 2025, under the IRDAI (Bima Sugam) Regulations 2024</t>
  </si>
  <si>
    <t>Sep 2025</t>
  </si>
  <si>
    <t>VERIFIED</t>
  </si>
  <si>
    <t>T-20</t>
  </si>
  <si>
    <t>Frontier model inference is priced per token and falling, and every major vendor now publishes batch and cached-input discounts as standard</t>
  </si>
  <si>
    <t>Vendor pricing pages, 12 Aug 2026: Google Gemini 3.5 Flash 1.50/9.00 USD per 1M in/out; OpenAI GPT-5.6 Terra 2.00/12.00; Anthropic Claude Sonnet 5 2.00/10.00. All three publish a 50% batch discount and roughly 90% off cached input. Full card at Sheet 1 Table M</t>
  </si>
  <si>
    <t>Aug 2026</t>
  </si>
  <si>
    <t>VERIFIED from each vendor's own pricing page. Blended mid-tier 1.83 in / 10.33 out</t>
  </si>
  <si>
    <t>T-21</t>
  </si>
  <si>
    <t>Region-pinned inference now carries an explicit price premium, making data residency a costed choice rather than an architectural preference</t>
  </si>
  <si>
    <t>OpenAI and Anthropic both publish a 1.1x multiplier for region-pinned inference. Sheet 1 M-24</t>
  </si>
  <si>
    <t>VERIFIED. Converts the DPDP question in T-15 into a line item rather than a principle</t>
  </si>
  <si>
    <t>PART 2  —  FOUR-ENGINE TREND VECTOR MAP  ·  20 trends scored on six dimensions</t>
  </si>
  <si>
    <t>Carried over in full from the Customer engine, which is the architectural parent of the other three. Scores are 1 to 5. Scoring rule, applied throughout: a strongly-evidenced weak trend is worth more than a weakly-evidenced strong one. Any trend whose evidence reads NO SOURCE scores 1 on evidence confidence and must NOT be presented as a driver of quantified impact.</t>
  </si>
  <si>
    <t>Field</t>
  </si>
  <si>
    <t>Magnitude</t>
  </si>
  <si>
    <t>Velocity</t>
  </si>
  <si>
    <t>Persistence</t>
  </si>
  <si>
    <t>Evid. conf.</t>
  </si>
  <si>
    <t>Motor rel.</t>
  </si>
  <si>
    <t>Exposure</t>
  </si>
  <si>
    <t>Evidence anchor</t>
  </si>
  <si>
    <t>C1</t>
  </si>
  <si>
    <t>Customer</t>
  </si>
  <si>
    <t>Digital servicing penetration</t>
  </si>
  <si>
    <t>T-01. Purchase-side only; claim-side conversion has no source</t>
  </si>
  <si>
    <t>C2</t>
  </si>
  <si>
    <t>Claim-speed expectation</t>
  </si>
  <si>
    <t>T-16 complaint proxy. Direct TAT expectation has no source</t>
  </si>
  <si>
    <t>C3</t>
  </si>
  <si>
    <t>AI assistance acceptance</t>
  </si>
  <si>
    <t>T-02. US data, direction only for India</t>
  </si>
  <si>
    <t>C4</t>
  </si>
  <si>
    <t>AI autonomy acceptance</t>
  </si>
  <si>
    <t>T-02 plus T-13 regulator posture. India consumer data has no source</t>
  </si>
  <si>
    <t>C5</t>
  </si>
  <si>
    <t>Explainability expectation</t>
  </si>
  <si>
    <t>IRDAI Policyholders' Interests Regs 2024. A legal mandate, not a preference</t>
  </si>
  <si>
    <t>C6</t>
  </si>
  <si>
    <t>Data-sharing willingness</t>
  </si>
  <si>
    <t>T-15 DPDP constraint. Willingness itself unmeasured</t>
  </si>
  <si>
    <t>C7</t>
  </si>
  <si>
    <t>Digital evidence behaviour</t>
  </si>
  <si>
    <t>Peer video-survey adoption. Gallery vs live-capture split is pilot data only</t>
  </si>
  <si>
    <t>C8</t>
  </si>
  <si>
    <t>Human escalation preference</t>
  </si>
  <si>
    <t>Evidence confidence set at 2: the available trust data measures claims professionals rather than customers</t>
  </si>
  <si>
    <t>C9</t>
  </si>
  <si>
    <t>Omnichannel behaviour</t>
  </si>
  <si>
    <t>Channels evidenced; switching behaviour unmeasured</t>
  </si>
  <si>
    <t>T1</t>
  </si>
  <si>
    <t>AI capability</t>
  </si>
  <si>
    <t>No benchmark held. Directional consensus only</t>
  </si>
  <si>
    <t>T2</t>
  </si>
  <si>
    <t>Inference cost deflation</t>
  </si>
  <si>
    <t>Direction only; no rate suitable for multi-year extrapolation</t>
  </si>
  <si>
    <t>T3</t>
  </si>
  <si>
    <t>Multimodal capability</t>
  </si>
  <si>
    <t>No benchmark held</t>
  </si>
  <si>
    <t>T4</t>
  </si>
  <si>
    <t>Agentic reliability</t>
  </si>
  <si>
    <t>No benchmark held. The most consequential unmeasured technology parameter</t>
  </si>
  <si>
    <t>T5</t>
  </si>
  <si>
    <t>Synthetic-media capability</t>
  </si>
  <si>
    <t>T-14. NO SOURCE AT ALL. The critical gap</t>
  </si>
  <si>
    <t>T6</t>
  </si>
  <si>
    <t>Fraud-detection capability</t>
  </si>
  <si>
    <t>Model target 62% to 90%. A target, not a validated capability</t>
  </si>
  <si>
    <t>T7</t>
  </si>
  <si>
    <t>API / ecosystem maturity</t>
  </si>
  <si>
    <t>T-12 IRDAI position plus T-19 Bima Sugam</t>
  </si>
  <si>
    <t>T8</t>
  </si>
  <si>
    <t>Model commoditisation</t>
  </si>
  <si>
    <t>No open-weight parity or vendor pricing series held</t>
  </si>
  <si>
    <t>T9</t>
  </si>
  <si>
    <t>Governance requirements</t>
  </si>
  <si>
    <t>T-11, T-13, T-15, all FACT and legally anchored. Highest-confidence trend in the map</t>
  </si>
  <si>
    <t>Trust in institutions and digital</t>
  </si>
  <si>
    <t>Dark-pattern headline, 27 months old and headline-derived. Weakest social trend</t>
  </si>
  <si>
    <t>Digital behaviour</t>
  </si>
  <si>
    <t>Fraud behaviour</t>
  </si>
  <si>
    <t>T-14. Rests on the same unsourced gap as T5</t>
  </si>
  <si>
    <t>Ecosystem collaboration</t>
  </si>
  <si>
    <t>Surveyor and garage posture, India-specific</t>
  </si>
  <si>
    <t>Convenience expectations</t>
  </si>
  <si>
    <t>T-02, direction only</t>
  </si>
  <si>
    <t>I1</t>
  </si>
  <si>
    <t>On-the-spot settlement penetration</t>
  </si>
  <si>
    <t>Bajaj on-the-spot settlement band, sub-Rs 30,000</t>
  </si>
  <si>
    <t>I2</t>
  </si>
  <si>
    <t>Competitive automation</t>
  </si>
  <si>
    <t>Peer adoption reported without a count. Weak</t>
  </si>
  <si>
    <t>I3</t>
  </si>
  <si>
    <t>Claims complexity</t>
  </si>
  <si>
    <t>Volume down with severity up is FACT; forward mix shift unmeasured</t>
  </si>
  <si>
    <t>I4</t>
  </si>
  <si>
    <t>Repair ecosystem digitisation</t>
  </si>
  <si>
    <t>I5</t>
  </si>
  <si>
    <t>Market-share dynamics</t>
  </si>
  <si>
    <t>Sell-side note, not public. Could not be independently verified</t>
  </si>
  <si>
    <t>I6</t>
  </si>
  <si>
    <t>Underwriting selectivity</t>
  </si>
  <si>
    <t>T-08, T-09. FACT</t>
  </si>
  <si>
    <t>PART 3  —  EVIDENCE GAPS CARRIED OPENLY  ·  figures no source supports, and how each is handled</t>
  </si>
  <si>
    <t>Figure sought</t>
  </si>
  <si>
    <t>How it is handled in the model</t>
  </si>
  <si>
    <t>U-01</t>
  </si>
  <si>
    <t>Motor-specific fraud leakage for India</t>
  </si>
  <si>
    <t>The 8 to 10 per cent benchmark in circulation is health, from BCG and Medi Assist November 2025. Carried as a stated proxy at H-01 and stress-tested to zero on Sheet 8.</t>
  </si>
  <si>
    <t>U-02</t>
  </si>
  <si>
    <t>Published incidence of synthetic claim media</t>
  </si>
  <si>
    <t>No published incidence. Modelled forward-looking at 1.0 per cent with a 0.5 to 2.0 per cent sensitivity.</t>
  </si>
  <si>
    <t>U-03</t>
  </si>
  <si>
    <t>Repair-cost overpayment base for India</t>
  </si>
  <si>
    <t>Not published. Autorox’s 25 per cent reduction rate is sourced; the rupee base it would multiply is not, so no repair-overpayment benefit is claimed anywhere in the model.</t>
  </si>
  <si>
    <t>U-04</t>
  </si>
  <si>
    <t>Ongoing AI compliance and audit operating cost</t>
  </si>
  <si>
    <t>No published figure. Priced as a build overlay in scenario S5 at plus 15 and plus 20 per cent of build.</t>
  </si>
  <si>
    <t>U-05</t>
  </si>
  <si>
    <t>Bajaj-specific renewal elasticity</t>
  </si>
  <si>
    <t>Would require a renewal cohort study. Excluded from the NPV entirely</t>
  </si>
  <si>
    <t>U-06</t>
  </si>
  <si>
    <t>Human exception-handling capacity ceiling</t>
  </si>
  <si>
    <t>Bajaj claims-operations data only. Flagged by two of the four engines as the breakpoint most likely to bind first, and modelled by none of them. The single most actionable data request</t>
  </si>
  <si>
    <t>U-07</t>
  </si>
  <si>
    <t>India consumer acceptance of AI claim DECISIONS</t>
  </si>
  <si>
    <t>No India-specific survey exists. All acceptance data is US-led. This is why T-02 is scoped, not extrapolated</t>
  </si>
  <si>
    <t>U-08</t>
  </si>
  <si>
    <t>P90 and P95 TAT distribution</t>
  </si>
  <si>
    <t>The model produces a mean only. Distribution needs pilot or Bajaj data</t>
  </si>
  <si>
    <t>PART 4  —  WHAT THE TREND WORK SETTLED</t>
  </si>
  <si>
    <t>The evidence-integrity layer moved from a slide claim to a costed build line, because T-04 makes every downstream model unsafe without it.</t>
  </si>
  <si>
    <t>The fraud target was capped and stress-tested, because T-05 puts our +28 pp above the published range.</t>
  </si>
  <si>
    <t>Repair-network gains were kept OUT of the investment case, because T-07 delivers customer benefit that does not accrue to us.</t>
  </si>
  <si>
    <t>Rollout was made the primary lever rather than a fixed plan, because T-09 means deployment must track the pricing decision, not lead it.</t>
  </si>
  <si>
    <t>Regulatory tightening is priced as a build overlay rather than ignored, because T-13 is a known unknown.</t>
  </si>
  <si>
    <t>Fraud governance moved from optional to mandatory, because T-11 makes a board-level fraud monitoring committee a compliance obligation from 1 April 2026, not a differentiator.</t>
  </si>
  <si>
    <t>7.</t>
  </si>
  <si>
    <t>The mid-ticket concentration in T-17 was adopted as corroboration of the Rs 45,000 average claim size, because it places industry leakage in exactly the band the green lane is scoped to.</t>
  </si>
  <si>
    <t>PART 5  —  EVIDENCE CLASS SUMMARY</t>
  </si>
  <si>
    <t>Every external figure carried by this case is classified. Eighteen are verified clean against a live source and quotable without qualification. Nine are carried at a stated lower tier; none of those is load-bearing on a rupee figure except the graph-AI range, which only bounds a target the model already stress-tests to zero.</t>
  </si>
  <si>
    <t>Figure</t>
  </si>
  <si>
    <t>How it is used</t>
  </si>
  <si>
    <t>V-01</t>
  </si>
  <si>
    <t>Claims cycle time, 32.4 days</t>
  </si>
  <si>
    <t>TIER 2, scope-bounded. J.D. Power 2025 US Property Claims Satisfaction Study, US homeowners’ property claims. J.D. Power also reports over 44 days from first notice of loss to final payment.</t>
  </si>
  <si>
    <t>Not used as an India motor benchmark. B-09 uses the India-typical 7 to 10 day band instead.</t>
  </si>
  <si>
    <t>V-02</t>
  </si>
  <si>
    <t>Trust uplift from human oversight</t>
  </si>
  <si>
    <t>TIER 2, scope-bounded. Wisedocs 2025, 65 claims professionals in US workers’ compensation: trust in AI alone 16 per cent, rising to 60 per cent with human experts.</t>
  </si>
  <si>
    <t>Used as evidence on claims-handler acceptance, not customer acceptance. Trend C8 scored accordingly.</t>
  </si>
  <si>
    <t>V-03</t>
  </si>
  <si>
    <t>Fraud and waste at 8 to 10 per cent of payouts</t>
  </si>
  <si>
    <t>TIER 2 PROXY. BCG and Medi Assist, November 2025. Health, not motor.</t>
  </si>
  <si>
    <t>Carried as a stated proxy at H-01. The mid-ticket concentration corroborates the Rs 45,000 average claim.</t>
  </si>
  <si>
    <t>V-04</t>
  </si>
  <si>
    <t>Bajaj digital servicing 90.9%, AI bots 64.5%, Motor NPS 78</t>
  </si>
  <si>
    <t>TIER 1 FILED. FY26 figures, Bajaj General investor deck, 30 April 2026.</t>
  </si>
  <si>
    <t>Used as FY26 context. The 104.7 per cent combined ratio is cited separately from Q1 FY27.</t>
  </si>
  <si>
    <t>V-05</t>
  </si>
  <si>
    <t>Mordor digital channel shares 56.1% and 41.8%</t>
  </si>
  <si>
    <t>EXT BENCHMARK. Shares within India’s online insurance market.</t>
  </si>
  <si>
    <t>Used with that scope stated. Trend C1 is capped for the missing claim-side conversion.</t>
  </si>
  <si>
    <t>V-06</t>
  </si>
  <si>
    <t>Insurity AI acceptance</t>
  </si>
  <si>
    <t>EXT BENCHMARK. US only, n over 1,000, February 2026 fieldwork.</t>
  </si>
  <si>
    <t>Used as directional for India, which is why U-07 records the India gap explicitly.</t>
  </si>
  <si>
    <t>V-07</t>
  </si>
  <si>
    <t>EU AI Act uplift of 15 to 20 per cent of development budget</t>
  </si>
  <si>
    <t>TIER 3. Refers to AI projects generally rather than insurance claims platforms. Better-grounded absolute figures exist at roughly EUR 200k to 500k initial and EUR 80k to 150k annually.</t>
  </si>
  <si>
    <t>Used only to bound scenario S5, which tests plus 15 and plus 20 per cent of build.</t>
  </si>
  <si>
    <t>V-08</t>
  </si>
  <si>
    <t>Verified clean and quotable without qualification</t>
  </si>
  <si>
    <t>TIER 1, quotable without qualification</t>
  </si>
  <si>
    <t>Quote freely. All carry named publisher and date in Part 1</t>
  </si>
  <si>
    <t>V-09</t>
  </si>
  <si>
    <t>Carried at a stated lower tier</t>
  </si>
  <si>
    <t>Motor OD market-share series; surveyor fee schedule; dark-pattern prevalence; India motor claims NPS; peer video-survey counts; detractor conversion; the 50 per cent telematics figure; the graph-AI uplift range; AI-fake pass-through rates.</t>
  </si>
  <si>
    <t>None is load-bearing on a rupee figure except the graph-AI range, which only bounds a target the model already stress-tests to zero.</t>
  </si>
  <si>
    <t>FX check: the model converts USD build benchmarks at Rs 95.3 (assumption A-08). Spot USD/INR traded between 94.89 and 95.45 in the week to 11 August 2026, so 95.3 is accurate and marginally conservative.</t>
  </si>
  <si>
    <t>Scenario Simulation  ·  five researched scenarios, three intensity levels each, run on the live model engine</t>
  </si>
  <si>
    <t>Every scenario in Part B moves ONE lever and holds everything else at Base, so the effect is attributable to that lever. Level 2 of S1 IS the Base case by construction, which is how the engine is checked. Sheet 3 Part L runs the correlated case, where several levers miss at once.</t>
  </si>
  <si>
    <t xml:space="preserve">  PART A  —  ENGINE CHECK  ·  this sheet must tie to the model before anything below it means anything</t>
  </si>
  <si>
    <t>Part B recomputes from the live engine, so it cannot go stale. These anchors confirm the link is intact before anything below is quoted.</t>
  </si>
  <si>
    <t>Anchor</t>
  </si>
  <si>
    <t>Part B basis</t>
  </si>
  <si>
    <t>Live model</t>
  </si>
  <si>
    <t>EC-01</t>
  </si>
  <si>
    <t>Blended manual touches per claim</t>
  </si>
  <si>
    <t>EC-02</t>
  </si>
  <si>
    <t>Blended TAT on platform, days</t>
  </si>
  <si>
    <t>EC-03</t>
  </si>
  <si>
    <t>Gross annual benefit, Rs Cr</t>
  </si>
  <si>
    <t>EC-04</t>
  </si>
  <si>
    <t>Net annual benefit, Rs Cr</t>
  </si>
  <si>
    <t>EC-05</t>
  </si>
  <si>
    <t>Build cost, Rs Cr</t>
  </si>
  <si>
    <t>EC-06</t>
  </si>
  <si>
    <t>Payback, steady state, months</t>
  </si>
  <si>
    <t>EC-07</t>
  </si>
  <si>
    <t xml:space="preserve">  PART B  —  SCENARIO RESULTS  ·  Base plan, computed live from the engine</t>
  </si>
  <si>
    <t>Each scenario moves one lever and holds everything else at Base. S1 Level 2 is the Base case by construction. S4 changes claimant-facing TAT through the garage chain and carries no P&amp;L effect, which is why it is shown and not claimed. Sheet 3 Part L runs the correlated case.</t>
  </si>
  <si>
    <t>Intensity level</t>
  </si>
  <si>
    <t>Lever value</t>
  </si>
  <si>
    <t>Touches</t>
  </si>
  <si>
    <t>TAT, days</t>
  </si>
  <si>
    <t>Net annual, Rs Cr</t>
  </si>
  <si>
    <t>Build, Rs Cr</t>
  </si>
  <si>
    <t>Payback, months</t>
  </si>
  <si>
    <t>Delta vs Base, Rs Cr</t>
  </si>
  <si>
    <t>S1  Digital-first settlement expectation</t>
  </si>
  <si>
    <t>L1  Emerging</t>
  </si>
  <si>
    <t>L2  Established  (= Base case)</t>
  </si>
  <si>
    <t>L3  Accelerated</t>
  </si>
  <si>
    <t>S2  Synthetic evidence</t>
  </si>
  <si>
    <t>L1  Evidence gate holds</t>
  </si>
  <si>
    <t>L2  Partial erosion</t>
  </si>
  <si>
    <t>L3  Detection neutralised</t>
  </si>
  <si>
    <t>S3  Explainability requirement</t>
  </si>
  <si>
    <t>Not monetised</t>
  </si>
  <si>
    <t>S4  Repair ecosystem digitisation</t>
  </si>
  <si>
    <t>L1  Unconnected</t>
  </si>
  <si>
    <t>0% faster</t>
  </si>
  <si>
    <t>L2  Partial API connectivity</t>
  </si>
  <si>
    <t>25% faster</t>
  </si>
  <si>
    <t>L3  Fully connected</t>
  </si>
  <si>
    <t>50% faster</t>
  </si>
  <si>
    <t>S5  Regulatory AI governance</t>
  </si>
  <si>
    <t>L1  No new rule</t>
  </si>
  <si>
    <t>+0% build</t>
  </si>
  <si>
    <t>L2  EU AI Act lower bound</t>
  </si>
  <si>
    <t>+15% build</t>
  </si>
  <si>
    <t>L3  EU AI Act upper bound</t>
  </si>
  <si>
    <t>+20% build</t>
  </si>
  <si>
    <t xml:space="preserve">  PART C  —  COMPOUND STRESS TEST  ·  all three quantified threats at once</t>
  </si>
  <si>
    <t>Compound severe</t>
  </si>
  <si>
    <t>Auto-settlement share</t>
  </si>
  <si>
    <t>65%</t>
  </si>
  <si>
    <t>50%</t>
  </si>
  <si>
    <t>Fraud detection achieved</t>
  </si>
  <si>
    <t>90%</t>
  </si>
  <si>
    <t>62%  (full revert to rule-based)</t>
  </si>
  <si>
    <t>NET ANNUAL BENEFIT, Rs Cr</t>
  </si>
  <si>
    <t>PAYBACK, steady state, months</t>
  </si>
  <si>
    <t>COMBINED RATIO, Motor OD, pp</t>
  </si>
  <si>
    <t>There is no combination of the researched scenarios in which ClaimPulse fails to return its capital inside a year of steady-state operation.</t>
  </si>
  <si>
    <t xml:space="preserve">  PART D  —  WHAT THE SCENARIOS ACTUALLY TELL US</t>
  </si>
  <si>
    <t>1.  Only ONE scenario genuinely threatens the case, and it is the one the platform was built around. If synthetic evidence defeats detection entirely, net benefit falls 54% to Rs 17.58 Cr and still pays back in under seven months.</t>
  </si>
  <si>
    <t>2.  Faster repair partners improve the CUSTOMER outcome and change our economics by nothing. TAT 2.55 to 1.76 days, net benefit unchanged. We keep it out of the investment case.</t>
  </si>
  <si>
    <t>3.  Regulatory tightening is affordable. The EU AI Act upper-bound overlay moves payback from 3.1 to 3.7 months.</t>
  </si>
  <si>
    <t>4.  Digital-first acceleration is a tailwind, not a rescue. 65% to 78% auto-settlement adds Rs 1.41 Cr a year.</t>
  </si>
  <si>
    <t>5.  Scenario 3 carries no rupee figure because no credible source prices an explainability obligation for Indian motor. Grievance-cost exposure of Rs 2.81 Cr a year is shown in the report as an order of magnitude only.</t>
  </si>
  <si>
    <t>SCOPE NOTE.  Every row in Part B is computed on the current Rs 9.89 Cr build and ties to the live model on all six anchors in Part A. Part E is the underlying scenario library; read its mechanisms and its direction of travel, and take every rupee figure from Parts A to D.</t>
  </si>
  <si>
    <t>PART E  —  FOUR-ENGINE SCENARIO LIBRARY  ·  every scenario tested across the four research engines</t>
  </si>
  <si>
    <t>Parts A to D are the LIVE model. Part E is the scenario library behind them, consolidated across the four research domains. Take every rupee figure from Parts A to D.</t>
  </si>
  <si>
    <t>Engine</t>
  </si>
  <si>
    <t>Grading</t>
  </si>
  <si>
    <t>Mechanism tested</t>
  </si>
  <si>
    <t>Worst case tested</t>
  </si>
  <si>
    <t>Result at worst case</t>
  </si>
  <si>
    <t>Breached?</t>
  </si>
  <si>
    <t>Customer (origin architecture)</t>
  </si>
  <si>
    <t>R1 Experience-Parity and Digital Evidence Abundance</t>
  </si>
  <si>
    <t>G1-G4</t>
  </si>
  <si>
    <t>Speed expectation accelerates while capture and CV capability rise. Can more digital evidence be converted into TRUSTED straight-through processing?</t>
  </si>
  <si>
    <t>G4 Transformational</t>
  </si>
  <si>
    <t>Positive throughout</t>
  </si>
  <si>
    <t>No</t>
  </si>
  <si>
    <t>R2 Conditional-Autonomy Equilibrium</t>
  </si>
  <si>
    <t>Automation frontier set by permission rather than capability. What AI is ALLOWED to decide, not what it can do</t>
  </si>
  <si>
    <t>Positive; governance cost absorbed</t>
  </si>
  <si>
    <t>R3 Adversarial AI Equilibrium</t>
  </si>
  <si>
    <t>The adversarial gap: detection capability minus generation capability. Full reversion to the 62% rule-based baseline</t>
  </si>
  <si>
    <t>G4 Extreme</t>
  </si>
  <si>
    <t>Rs 1.49 Cr per month, Rs 17.92 Cr per year, still positive</t>
  </si>
  <si>
    <t>R4 Commoditisation-Moat Transition</t>
  </si>
  <si>
    <t>AI capability commoditises; the moat has to move from model to data and workflow</t>
  </si>
  <si>
    <t>Positive; cost deflation is a tailwind</t>
  </si>
  <si>
    <t>S1 Autonomous Claims Market</t>
  </si>
  <si>
    <t>Base to Extreme</t>
  </si>
  <si>
    <t>Agentic orchestration matures and automation depth rises across the market</t>
  </si>
  <si>
    <t>Extreme</t>
  </si>
  <si>
    <t>Positive</t>
  </si>
  <si>
    <t>S2 Adversarial Digital Claim</t>
  </si>
  <si>
    <t>Synthetic evidence defeats detection, with capacity realisation and incremental cost also applied</t>
  </si>
  <si>
    <t>Rs 0.132 Cr per month, near zero</t>
  </si>
  <si>
    <t>Thin cushion, 2.45pp of 14.06pp</t>
  </si>
  <si>
    <t>S3 Data-Rich, Trust-Constrained Market</t>
  </si>
  <si>
    <t>Evidence volume rises but consent and governance restrict what is usable</t>
  </si>
  <si>
    <t>W8 COMBINED STRESS TEST</t>
  </si>
  <si>
    <t>All three technology regimes move together. Automation depth, capacity and fraud detection collapse simultaneously</t>
  </si>
  <si>
    <t>MINUS Rs 0.531 Cr per month, NEGATIVE</t>
  </si>
  <si>
    <t>YES - both STP and fraud-detection breakpoints breached</t>
  </si>
  <si>
    <t>T1 AI Commoditisation</t>
  </si>
  <si>
    <t>Base, G1-G4</t>
  </si>
  <si>
    <t>Inference and model cost deflation, cost side only</t>
  </si>
  <si>
    <t>G4</t>
  </si>
  <si>
    <t>Positive, upside only</t>
  </si>
  <si>
    <t>T2 Live-Capture Evidence Heterogeneity</t>
  </si>
  <si>
    <t>Evidence arrives in more formats and qualities than the gate was built for</t>
  </si>
  <si>
    <t>T3 Adversarial Evidence, live-video attack surface</t>
  </si>
  <si>
    <t>Attack moves from still images to live capture</t>
  </si>
  <si>
    <t>Positive but thinning</t>
  </si>
  <si>
    <t>T4 Agentic and Autonomous Orchestration</t>
  </si>
  <si>
    <t>Upside case: orchestration reliability improves enough to widen the green lane</t>
  </si>
  <si>
    <t>Positive, upside</t>
  </si>
  <si>
    <t>T5 Ecosystem and API Integration</t>
  </si>
  <si>
    <t>Cost drag only. Least-evidenced of the six</t>
  </si>
  <si>
    <t>Cost drag, absorbed</t>
  </si>
  <si>
    <t>T6 Governance and Auditability Constraint</t>
  </si>
  <si>
    <t>Explainability and audit obligations raise build and run cost</t>
  </si>
  <si>
    <t>Positive, cost absorbed</t>
  </si>
  <si>
    <t>Sc1 Digital Visibility</t>
  </si>
  <si>
    <t>L1-L3</t>
  </si>
  <si>
    <t>Continuous claim visibility becomes the expectation, benchmarked to UPI and e-commerce rather than to insurers</t>
  </si>
  <si>
    <t>L3 Accelerated</t>
  </si>
  <si>
    <t>Sc2 Synthetic Fraud Arms Race</t>
  </si>
  <si>
    <t>Legacy verification reverts toward the 62% baseline as fabrication gets cheaper</t>
  </si>
  <si>
    <t>L3 Severe</t>
  </si>
  <si>
    <t>Labour-only engine still pays back in 3.24 months at zero fraud benefit</t>
  </si>
  <si>
    <t>Sc3 Explainability</t>
  </si>
  <si>
    <t>Explainability becomes a customer-trust and retention requirement, not just a legal one</t>
  </si>
  <si>
    <t>L3</t>
  </si>
  <si>
    <t>Not monetised; grievance exposure shown as order of magnitude only</t>
  </si>
  <si>
    <t>Sc4 Ecosystem</t>
  </si>
  <si>
    <t>Repair and garage network digitises and connects</t>
  </si>
  <si>
    <t>Customer benefit, no change to our economics</t>
  </si>
  <si>
    <t>Sc5 Regulatory</t>
  </si>
  <si>
    <t>AI governance obligations priced as a build overlay</t>
  </si>
  <si>
    <t>Positive, overlay absorbed</t>
  </si>
  <si>
    <t>COMPOUND SEVERE</t>
  </si>
  <si>
    <t>All five at worst</t>
  </si>
  <si>
    <t>Every scenario's worst direction applied at once</t>
  </si>
  <si>
    <t>Rs 1.601 Cr per month, still positive</t>
  </si>
  <si>
    <t>Industrial</t>
  </si>
  <si>
    <t>S1 Regulatory AI Governance Tightening</t>
  </si>
  <si>
    <t>G1-G4 qualitative</t>
  </si>
  <si>
    <t>Autonomous settlement progressively restricted. Anchored to the risk model's C4 line: 15% probability, 25% benefit loss</t>
  </si>
  <si>
    <t>G4 Autonomous settlement restricted</t>
  </si>
  <si>
    <t>Not quantified, bounded</t>
  </si>
  <si>
    <t>S2 Competitive AI Convergence</t>
  </si>
  <si>
    <t>Rivals close the fusion gap. Anchored to risk-model line C5: 50% probability, 15% erosion from year 2, a 7.5% expected loss and the largest single line in the risk model</t>
  </si>
  <si>
    <t>G3 End-to-end parity</t>
  </si>
  <si>
    <t>Roughly 15 to 25% conditional erosion</t>
  </si>
  <si>
    <t>No, but see Part H</t>
  </si>
  <si>
    <t>S3 Adversarial Claims and Fraud Evolution</t>
  </si>
  <si>
    <t>Fraud detection underperforms. Risk-model line C2: 40% probability, weighted by fraud's share of gross benefit</t>
  </si>
  <si>
    <t>G4 Adversarial AI arms race</t>
  </si>
  <si>
    <t>Approaches the labour-only payback floor of 3.24 months</t>
  </si>
  <si>
    <t>S4 Claims-Ecosystem and Data Transformation</t>
  </si>
  <si>
    <t>Evidence architecture shifts under DPDP consent rules and live-capture mandates</t>
  </si>
  <si>
    <t>G4 Fundamental evidence architecture shift</t>
  </si>
  <si>
    <t>PART F  —  CROSS-ENGINE SYNTHESIS  ·  what survives being attacked from four directions</t>
  </si>
  <si>
    <t>F1. THE STRONGEST CLAIM. The labour and processing engine carries the case on its own, with zero fraud-detection lift. On the current Rs 9.89 Cr engine the zero-fraud floor is a net Rs 3.20 Cr a year and the build still repays.</t>
  </si>
  <si>
    <t>Where it appears</t>
  </si>
  <si>
    <t>Figure cited by that engine</t>
  </si>
  <si>
    <t>R3 Adversarial AI Equilibrium, G4</t>
  </si>
  <si>
    <t>Rs 17.92 Cr per year even at full reversion to the 62% baseline</t>
  </si>
  <si>
    <t>S2 Adversarial Digital Claim, Severe</t>
  </si>
  <si>
    <t>Rs 1.251 Cr per month, a harder test because it also applies capacity realisation and incremental cost</t>
  </si>
  <si>
    <t>Sc2 Synthetic Fraud Arms Race, Level 3</t>
  </si>
  <si>
    <t>Labour-only engine still shows a 3.24-month payback at zero fraud benefit</t>
  </si>
  <si>
    <t>S3 Adversarial Claims, G4</t>
  </si>
  <si>
    <t>Payback approaches the labour-only floor of 3.24 months</t>
  </si>
  <si>
    <t>F2. THE ONLY FAILURE MODE. Across all four engines and every grade and level tested, exactly one case turns net benefit negative: the Technology engine's W8 Combined Stress Test at Extreme, at minus Rs 0.531 Cr per month. The model does not fail under any single-mechanism shock, however severe. It fails only when automation depth, human capacity and fraud detection collapse at the same time. That is the honest boundary of the case, and it should be stated rather than hidden.</t>
  </si>
  <si>
    <t>F3. THE PROJECT-WIDE EVIDENCE GAP. Synthetic-media incidence in Indian motor claims has no source anywhere. All four engines rediscovered this independently (Customer E31, Technology TE05 and TE08, Social Scenario 2, Industrial IE03) and it sits underneath the highest-consequence downside scenario in every one of them. This is the single data point that would most strengthen the submission if it could be obtained.</t>
  </si>
  <si>
    <t>F4. THE BREAKPOINT NOBODY MODELLED. The human exception-handling capacity ceiling is flagged by two engines as the constraint most likely to bind first, and is modelled by none of them. It needs Bajaj claims-operations data. This is the most actionable near-term request in the entire project.</t>
  </si>
  <si>
    <t>PART G  —  PROVENANCE AND REBASING  ·  why Parts A to D supersede the research engines</t>
  </si>
  <si>
    <t>Parts A to D of this sheet are computed on the current Rs 9.89 Cr engine and tie to the live model on all six anchors in Part A. Part E carries the scenario mechanisms.</t>
  </si>
  <si>
    <t>Carried in</t>
  </si>
  <si>
    <t>Stale value</t>
  </si>
  <si>
    <t>Current canonical value</t>
  </si>
  <si>
    <t>Technology, Customer engines</t>
  </si>
  <si>
    <t>Rs 5.2874 Cr</t>
  </si>
  <si>
    <t>Rs 9.8905 Cr</t>
  </si>
  <si>
    <t>Social engine</t>
  </si>
  <si>
    <t>Rs 2.5 Cr</t>
  </si>
  <si>
    <t>Rs 9.8905 Cr - was doubly stale, the engine had already flagged itself</t>
  </si>
  <si>
    <t>Net monthly benefit, Base</t>
  </si>
  <si>
    <t>Rs 3.140 Cr</t>
  </si>
  <si>
    <t>Rs 3.2187 Cr</t>
  </si>
  <si>
    <t>Net annual benefit, Base</t>
  </si>
  <si>
    <t>Rs 26.16 Cr</t>
  </si>
  <si>
    <t>Rs 38.62 Cr</t>
  </si>
  <si>
    <t>Steady-state payback, Base</t>
  </si>
  <si>
    <t>1.68 months</t>
  </si>
  <si>
    <t>3.073 months</t>
  </si>
  <si>
    <t>1.147 months</t>
  </si>
  <si>
    <t>Fraud leakage rate</t>
  </si>
  <si>
    <t>Social engine base case</t>
  </si>
  <si>
    <t>1.2%</t>
  </si>
  <si>
    <t>3.42% - carried consistently across the scenario library</t>
  </si>
  <si>
    <t>Platform run cost</t>
  </si>
  <si>
    <t>Rs 8.00 L per month</t>
  </si>
  <si>
    <t>About Rs 28.96 L per month</t>
  </si>
  <si>
    <t>NEP / GWP basis</t>
  </si>
  <si>
    <t>All engines</t>
  </si>
  <si>
    <t>49.88%</t>
  </si>
  <si>
    <t>The live model runs the filed FY2026 basis at A-02. Sheet 1 Table P and Sheet 3 Part M carry all three bases.</t>
  </si>
  <si>
    <t>Two contradictions inside the source engines were found and are recorded here so they are not quoted by accident. First, the Bajaj on-the-spot settlement band appears as both sub-Rs 20,000 and sub-Rs 30,000 in adjacent cells of the same file. Second, steady-state payback appears as both 1.7 months and 3.24 months in two engines that cite the same workbook. Neither figure should be quoted from the engines. Use Part A of this sheet.</t>
  </si>
  <si>
    <t>PART H  —  COMPETITIVE CONVERGENCE  ·  bounded rather than point-estimated</t>
  </si>
  <si>
    <t>Competitive AI convergence, meaning a rival matching the full ClaimPulse pipeline, is the single largest expected-loss line in our own risk model at 50% probability and 15% benefit erosion from year 2, a 7.5% expected loss. It is graded qualitatively by the Industrial engine and is NOT quantified as a financial scenario anywhere, including in Parts B and C above, which move technology, regulatory and behavioural levers but not a competitive one.</t>
  </si>
  <si>
    <t>Why it is bounded rather than point-estimated: erosion depends on a rival’s rollout pace and pricing response, neither of which is observable. A point estimate here would be an assumption presented as a scenario.</t>
  </si>
  <si>
    <t>What bounds it instead: the fraud-detection scenarios in Part B already test benefit erosion of 25% and 54% from a different cause. A 15% competitive erosion sits inside the range the model is shown to survive, at S2 Level 2 or milder. The case does not depend on the gap being closed, but the gap is real and we would rather name it than be asked about it.</t>
  </si>
  <si>
    <t>Landscape Impact  ·  what each scenario does to the wider industrial and business landscape</t>
  </si>
  <si>
    <t>HEADLINE. Across 17 scenarios and four research engines, the landscape analysis converges on one conclusion: speed is not the moat. TAT-based differentiation compresses industry-wide as every insurer chases the same benchmark, and every engine independently relocates the durable advantage to the same four places - proprietary claims data, garage and ecosystem relationships, governance built ahead of the mandate, and the ability to retrain faster than an adversary. The scenario that looks financially benign, commoditisation, is the one that threatens the moat most.</t>
  </si>
  <si>
    <t>SECOND HEADLINE. Regulatory tightening is not a competitive threat. Three separate engines reach the same finding: because an IRDAI constraint applies to every insurer simultaneously, ClaimPulse's RELATIVE position is preserved even as its absolute automation ceiling falls. Regulation compresses payback, not the value proposition.</t>
  </si>
  <si>
    <t>STRUCTURE. The four engines produced 17 scenarios, several of which are the same structural event seen through a different lens. They are grouped below by theme so each theme is read once, with each engine's distinct contribution kept underneath it. Every cell is carried over in full; nothing is summarised away. Escalation rows state how each scenario intensifies from its mildest to its most severe grade.</t>
  </si>
  <si>
    <t>SCOPE ON FIGURES. This sheet carries the landscape mechanisms and their direction of travel. Every rupee, NPV and payback figure quoted in the deck comes from Sheets 3, 4 and 5, which run the current Rs 9.89 Cr engine.</t>
  </si>
  <si>
    <t>THEME 1  —  EXPERIENCE PARITY AND DIGITAL VISIBILITY</t>
  </si>
  <si>
    <t>Speed expectation is set outside insurance, by UPI and e-commerce. Insurers do not control the benchmark.</t>
  </si>
  <si>
    <t>R1 — Experience-Parity Claims Market (+ Evidence Abundance)</t>
  </si>
  <si>
    <t>Customer engine</t>
  </si>
  <si>
    <t>Escalation</t>
  </si>
  <si>
    <t>G1: digital volume +15%, Green -3pp. G4: digital volume +50%, Green -10pp. The landscape shift intensifies with digital-channel maturity, not with any single regulatory or technology trigger.</t>
  </si>
  <si>
    <t>Competitive landscape and market structure</t>
  </si>
  <si>
    <t>Every insurer racing toward the same UPI/e-commerce-grade experience benchmark compresses TAT-based differentiation industry-wide — speed stops being a moat and becomes table stakes, pushing competition toward the SECOND-order variables (fraud accuracy, explainability, ecosystem depth) that R1 alone does not touch.</t>
  </si>
  <si>
    <t>Industry value chain and ecosystem partners</t>
  </si>
  <si>
    <t>Garages and surveyors face rising pressure to digitise intake to keep pace with claimant-side speed expectations; the IIISLA surveyor body's resistance to automation (already documented as the strongest stakeholder-friction evidence in the project) intensifies as more of their traditional volume routes around them via live-capture and AI assessment.</t>
  </si>
  <si>
    <t>Regulatory and policy environment</t>
  </si>
  <si>
    <t>Reinforces, rather than creates, regulatory direction already set by IRDAI's Bima Sugam and 3-day/30-day settlement timelines — ClaimPulse is riding an existing compliance tailwind, not anticipating a new one.</t>
  </si>
  <si>
    <t>Business model and revenue structure</t>
  </si>
  <si>
    <t>Strengthens BFDL's distribution-side commission/persistency thesis (not BAGIC's underwriting thesis) — faster, more transparent claims handling is a retention lever for the DISTRIBUTOR relationship with the policyholder, independent of underwriting economics.</t>
  </si>
  <si>
    <t>Capital, cost and investment requirements</t>
  </si>
  <si>
    <t>Capital-light: volume growth is absorbed by the flat build cost (the source engine wrote Rs 5.29 Cr; the CURRENT build cost is Rs 9.89 Cr, see Sheet 8 Part G) and a run cost that scales sub-linearly with claims — the industrial-landscape implication is that ClaimPulse's unit economics improve with scale rather than requiring re-investment to sustain the experience-parity race.</t>
  </si>
  <si>
    <t>Talent, workforce and organisational capability</t>
  </si>
  <si>
    <t>Claims-ops headcount shifts from processing to EXCEPTION management as Green volume grows in absolute terms even as its SHARE erodes slightly — the workforce question is capacity to absorb Amber/Red overflow (Breakpoint H*, still unsourced), not headcount growth per se.</t>
  </si>
  <si>
    <t>Barriers to entry and strategic moat</t>
  </si>
  <si>
    <t>Weakens the TAT-as-differentiator moat industry-wide (anyone can buy faster settlement); strengthens ClaimPulse's relative position only if it also builds the evidence-integrity layer R2/Regime-2's thesis calls for — speed alone is not defensible once the whole industry converges on it.</t>
  </si>
  <si>
    <t>Customer and demand-side landscape</t>
  </si>
  <si>
    <t>Resets the reference point: customers benchmark claims against UPI and food delivery, not against other insurers — a structural, exogenous shift (sheet 04's core thesis) that no single insurer, including Bajaj, can opt out of.</t>
  </si>
  <si>
    <t>Scenario 1 — Digital-Visibility Baseline Shift</t>
  </si>
  <si>
    <t>Level 1 (55% green-lane, Emerging) through Level 3 (78%, Accelerated) — reuses the validated model's own Conservative-Aggressive band; the NPS/retention channel (Lever 2) is the genuinely new, sourced addition layered on top.</t>
  </si>
  <si>
    <t>IRDAI's own regulatory floor (Bima Sugam, 3-day acknowledgement/30-day settlement) is moving in the same direction as customer expectation — meaning digital-visibility investment is increasingly a COMPLIANCE floor as much as a competitive differentiator, compressing the advantage of being early.</t>
  </si>
  <si>
    <t>Status-app abandonment after 2-3 silent visits (the project's own primary research finding) means garages, surveyors and call centres are all implicated in the transparency chain, not just the AI layer — a silo failure anywhere in the ecosystem undermines the digital-visibility investment regardless of ClaimPulse's own performance.</t>
  </si>
  <si>
    <t>Directly reinforced by IRDAI's own settlement-timeline regulations — this scenario carries the least regulatory uncertainty of the five, since the direction of travel is already codified, not merely anticipated.</t>
  </si>
  <si>
    <t>The NPS-to-retention elasticity (every 5-point NPS gain = 1pp retention lift, source *34) converts a service-quality investment into a quantifiable premium-retention argument BFDL can take to Bajaj's board — though the ₹66-133 Cr/yr figures are explicitly SCALE illustrations of premium at stake, not a proven ClaimPulse-causal outcome.</t>
  </si>
  <si>
    <t>Low incremental capital: the green-lane share range at every level is already inside the validated model's existing Conservative-Aggressive band, meaning this scenario requires no NEW investment beyond what the base build already provisions for.</t>
  </si>
  <si>
    <t>Requires continued investment in customer-experience design and status-communication UX, not primarily new ML/engineering headcount — the differentiator here is largely a product/CX capability, not a data-science one.</t>
  </si>
  <si>
    <t>Weak as a standalone moat — since the green-lane range is inside the existing model's known band, any competitor investing comparably in digital claims can match this dimension, meaning true differentiation must come from the OTHER four scenarios, not this one alone.</t>
  </si>
  <si>
    <t>Surveyors' #1 complaint is re-inspection caused by poor images — guided capture is the direct unlock (primary research finding) — meaning the demand-side landscape rewards CAPTURE QUALITY as much as raw digital penetration.</t>
  </si>
  <si>
    <t>THEME 2  —  GOVERNED AUTONOMY AND AI REGULATION</t>
  </si>
  <si>
    <t>The automation frontier is set by permission, not capability. Governance is what buys the right to automate.</t>
  </si>
  <si>
    <t>R2 — Conditional-Autonomy Equilibrium (Controlled AI Autonomy)</t>
  </si>
  <si>
    <t>G1: Green -5pp, governance cost +25%. G4: Green -16pp, governance cost +75%. The landscape shift is driven by regulatory/consumer-trust permission tightening, not by any capability ceiling.</t>
  </si>
  <si>
    <t>Converts the competitive question from 'who has the best AI' to 'who can prove the best AI is safely governed' — rewards insurers with an existing human-in-the-loop operating culture (Bajaj's own CIO has already publicly described this posture, Outlook Money Sep 2025) over pure-automation challengers.</t>
  </si>
  <si>
    <t>Elevates surveyors and human claims handlers from a cost centre being automated away to a GOVERNANCE-REQUIRED checkpoint in the adverse-decision pathway — partially reverses the ecosystem-displacement pressure R1 creates.</t>
  </si>
  <si>
    <t>The single most regulation-exposed regime in the set: IRDAI's AI Working Group (formed 19 Jun 2026, 3-month mandate) sits squarely inside this regime's mechanism, and its eventual framework is the biggest unresolved variable in the entire Customer/Social engine.</t>
  </si>
  <si>
    <t>Governance becomes a first-class cost line rather than a compliance afterthought — the business model must price in standing audit/explainability infrastructure as a permanent operating cost, not a one-time build item, which BFDL's investor narrative has not yet separately accounted for.</t>
  </si>
  <si>
    <t>Highest incremental cost exposure of the four regimes (governance/run-cost uplift reaches +75% of base run cost at G4) — this is capital that buys AUTOMATION PERMISSION, not automation capability, a distinction BFDL's finance function will need to defend to Bajaj's board.</t>
  </si>
  <si>
    <t>Requires a new organisational function — explainability/audit engineering — that does not fully exist in ClaimPulse's current build plan; this is the regime most likely to require headcount BFDL has not yet budgeted for.</t>
  </si>
  <si>
    <t>Paradoxically strengthens ClaimPulse's moat if built proactively: a claims platform with governance already embedded is harder for a fast-follower to replicate than a claims platform with governance bolted on after a regulatory shock — this is the 'build ahead of the mandate' strategic option flagged in sheet 11.</t>
  </si>
  <si>
    <t>Only 22% of consumers are comfortable with AI filing a claim on their behalf (Insurity, Feb 2026, verified) — the demand-side landscape is NOT asking for full autonomy, it is asking for fast + explainable, which is a materially different product design target than R1 alone implies.</t>
  </si>
  <si>
    <t>S1 — Regulatory AI Governance Tightening</t>
  </si>
  <si>
    <t>Industrial engine</t>
  </si>
  <si>
    <t>G1: audit requirements added, no architecture change. G4: autonomous settlement restricted, near-full human-governed architecture. Escalation is regulator-paced, not ClaimPulse-paced.</t>
  </si>
  <si>
    <t>A binding regulatory ceiling on autonomous settlement resets the competitive playing field for EVERY insurer simultaneously — since the constraint is external and industry-wide, ClaimPulse's relative position is preserved even as its absolute automation ceiling falls, provided rivals face the same IRDAI framework.</t>
  </si>
  <si>
    <t>Reinstates surveyors and human claims handlers into the settlement authority chain at G3-G4 — directly reverses the IIISLA-opposed automation trend, meaning this regime is the one scenario where the surveyor body's regulatory lobbying interest and the industry's actual direction of travel could converge.</t>
  </si>
  <si>
    <t>This IS the regulatory environment — S1 is the direct transmission of IRDAI's Protection of Policyholders' Interests Regulations 2024 and the AI Working Group's (Jun 2026) eventual framework into ClaimPulse's architecture; no other scenario in the four-part set is this tightly coupled to a single regulator's actions.</t>
  </si>
  <si>
    <t>At G4, the investable proposition shifts from 'AI settles claims' to 'AI recommends, human settles with full audit trail' — CRITICAL for BFDL's investor narrative: the repurposing framing ('ClaimPulse -&gt; AI Claims Decision-Support Platform') must be pre-positioned with Bajaj's board before G3-G4 becomes a live risk, not after.</t>
  </si>
  <si>
    <t>Requires standing investment in audit-trail, human-approval-workflow and decision-log infrastructure that is largely orthogonal to the AI models themselves — this is compliance-architecture capex, and the current model's build-cost estimate does not separately size it.</t>
  </si>
  <si>
    <t>At G3-G4, claims-ops headcount requirements approach or exceed the PRE-ClaimPulse baseline for restricted classes — the labour-saving thesis that anchors 81% of the model's benefit is the single most exposed line item under this scenario, which is why the resilience verdict frames this as 'the ROI thesis changes, not that the platform fails'.</t>
  </si>
  <si>
    <t>A tightened autonomy ceiling paradoxically REWARDS platforms with the best human-AI collaboration workflow over the best pure-automation rate — ClaimPulse's five-engine architecture (still valuable as a decision-support layer even without settlement authority) is more resilient here than a single-purpose auto-settlement bot would be.</t>
  </si>
  <si>
    <t>Customers experience more friction (human review layered onto AI recommendation) even as trust/compliance improves — the demand-side trade-off between SPEED and OVERSIGHT becomes explicit and visible to the claimant for the first time under this scenario.</t>
  </si>
  <si>
    <t>Scenario 5 — Regulatory AI Governance Tightens (India-Specific)</t>
  </si>
  <si>
    <t>Level 1 (0% overlay, IRDAI working group still in progress) through Level 3 (+20% implementation-cost overlay, full high-risk-equivalent classification) — a pure COST shock, using the EU AI Act's sourced +15-20% platform-development-budget impact as the best available quantified proxy since IRDAI's own framework is not yet published.</t>
  </si>
  <si>
    <t>An eventual IRDAI AI framework resets the compliance bar for every insurer simultaneously — since the constraint is industry-wide and external, ClaimPulse's RELATIVE competitive position is preserved even as its absolute cost base rises, provided the framework applies uniformly.</t>
  </si>
  <si>
    <t>IRDAI's cyber-security guidelines (updated 24 Mar 2025, amid ~370M malware attacks on Indian targets in 2024, *31) show the regulator is already active on AI-adjacent risk — the eventual AI-specific framework is highly likely to touch garage-API integrations and third-party vendor data-sharing, not just ClaimPulse's own models.</t>
  </si>
  <si>
    <t>This scenario IS the regulatory environment, directly — the caveat stated plainly throughout this sheet (IRDAI's AI Working Group has not yet published its framework as of this workbook) means every number here is a proxy, not a forecast, and should be revisited the moment IRDAI's 3-month mandate produces output.</t>
  </si>
  <si>
    <t>A pure COST shock, not a benefit shock — net monthly benefit is explicitly unaffected since compliance/audit spend does not change claims-processing economics directly; the investor narrative implication is that this scenario compresses PAYBACK, not the underlying value proposition.</t>
  </si>
  <si>
    <t>At the severe level (+20%), Base implementation cost rises from Rs 9.89 Cr to Rs 11.87 Cr, matching Sheet 8 Part B scenario S5 Level 3.</t>
  </si>
  <si>
    <t>Ongoing (post-launch) AI-compliance/audit-trail operating cost is explicitly flagged as NOT SOURCEABLE anywhere — no public source, including EU AI Act commentary, quantifies standing operating cost, only one-time development-budget impact, meaning BFDL's compliance function will need real headcount whose cost is currently unbudgeted.</t>
  </si>
  <si>
    <t>Building governance infrastructure AHEAD of an IRDAI mandate (rather than reactively after one is published) is the clearest 'build the moat before the mandate forces it' opportunity across all four trend files — a compliant-by-design platform is harder for a fast-follower to replicate under time pressure than one retrofitted after enforcement begins.</t>
  </si>
  <si>
    <t>Largely invisible directly to policyholders in the near term — compliance-cost overlays affect BFDL's economics and payback, not the claimant's day-to-day experience, unless governance requirements eventually surface as visible explainability features (which would then also touch Scenario 3's landscape).</t>
  </si>
  <si>
    <t>THEME 3  —  EXPLAINABILITY AND THE TRUST-AUTONOMY GAP</t>
  </si>
  <si>
    <t>Only the Social engine treats explainability as a standalone scenario. It is the largest unquantified cost risk in the project.</t>
  </si>
  <si>
    <t>Scenario 3 — Explainability-as-a- Requirement (Trust vs Autonomy Gap)</t>
  </si>
  <si>
    <t>Not forced into the cost-benefit levers — the honest position is that no source states a precise operational cost for 'building in explainability'. Quantified instead via grievance-cost exposure (Rs2.81 Cr/yr illustrative) and NPS/retention mirrored to the downside.</t>
  </si>
  <si>
    <t>Only 22% of consumers are comfortable with AI filing a claim on their behalf, and 'nearly half' distrust AI making claims-approval/fraud decisions specifically (*18) — this bounds how much of the green lane can realistically remain fully autonomous industry-wide, not just for ClaimPulse, making explainability a shared industry constraint rather than a ClaimPulse-specific cost.</t>
  </si>
  <si>
    <t>IRDAI's 7-member AI Working Group (formed 19 Jun 2026, 3-month mandate) sits at the centre of this scenario's ecosystem — its eventual framework will set the explainability bar for every insurer, garage-network API, and TPA touching AI-assisted claims decisions simultaneously.</t>
  </si>
  <si>
    <t>The most directly regulator-exposed of the five scenarios: IRDAI's AI Working Group mandate runs concurrent with this workbook's own construction, meaning the framework it eventually publishes is a live, unresolved variable, not a settled input.</t>
  </si>
  <si>
    <t>The grievance-cost exposure calculation (₹2.81 Cr/yr illustrative, built from IRDAI's own 2.57 lakh FY25 grievance count and the RBI Ombudsman Scheme's ₹2,041/complaint cross-sector proxy) is the cleanest, most defensible financial read in this scenario precisely because it is built entirely from filed data plus one clearly-flagged cross-sector proxy.</t>
  </si>
  <si>
    <t>The single largest unquantified cost risk in the entire five-scenario set: no source states what building explainability (Decision -&gt; Evidence -&gt; Reason -&gt; Policy clause -&gt; Override -&gt; Audit log) actually costs at ClaimPulse's production volume — this is flagged explicitly as requiring ClaimPulse's own engineering estimate, not a public benchmark.</t>
  </si>
  <si>
    <t>Requires a genuinely new organisational capability — explainability/audit engineering — that overlaps with but is distinct from both the core ML team and the compliance function; BFDL's current org design does not appear to separately provision for it.</t>
  </si>
  <si>
    <t>RAG-grounded plain-language decisions are explicitly positioned in the submitted deck as turning 'IRDAI's protection push into a trust feature' — if executed well, explainability converts from a compliance cost into a genuine differentiator, but only if built before a regulatory mandate forces a reactive, lower-quality version.</t>
  </si>
  <si>
    <t>The NPS/retention channel mirrored to the downside (-5 to -20 points if explainability is under-built, using the same *34 elasticity as Scenario 1) means this is the one scenario where getting the product wrong actively DESTROYS the retention value Scenario 1 is trying to build — the two scenarios are directly linked, not independent.</t>
  </si>
  <si>
    <t>THEME 4  —  ADVERSARIAL FRAUD AND EVIDENCE INTEGRITY</t>
  </si>
  <si>
    <t>All four engines model this independently and all four reach the same verdict: the labour engine carries the case without fraud economics.</t>
  </si>
  <si>
    <t>R3 — Adversarial AI Equilibrium (Adversarial Digital Claims)</t>
  </si>
  <si>
    <t>G1: fraud detection 82% (still improving). G4: fraud detection reverts fully to the pre-ClaimPulse 62% baseline. This is the regime where the industrial landscape shifts fastest and least predictably, since E31 (Indian synthetic-media prevalence) has no source at all.</t>
  </si>
  <si>
    <t>Turns fraud detection into an AI-vs-AI arms race across the whole industry simultaneously — no insurer's static model stays ahead for long, so competitive advantage shifts from WHO HAS a fraud model to WHO CAN RETRAIN FASTEST, favouring insurers with standing MLOps/retraining infrastructure over one-time model builders.</t>
  </si>
  <si>
    <t>SIU (Special Investigation Unit) capacity across the industry becomes a shared bottleneck as synthetic-evidence sophistication rises — this is a market-wide capacity constraint, not a ClaimPulse-specific one, which could plausibly drive industry-wide SIU-as-a-service or shared fraud-intelligence consortia (a structural shift not currently modelled anywhere in the project).</t>
  </si>
  <si>
    <t>Currently the LEAST regulated dimension of the four — no IRDAI rule specifically addresses synthetic-media fraud in claims yet, which means the industrial landscape here is being shaped by insurer self-defence (Capture Integrity Gates, live-capture mandates) ahead of, not in response to, regulation.</t>
  </si>
  <si>
    <t>Confirms the resilience of the labour/orchestration engine as the PRIMARY revenue-protecting mechanism (net benefit stays positive at Rs17.9 Cr/yr even at full fraud-detection reversion) — the business model does not depend on winning the fraud arms race, which is a materially different investor pitch than 'AI stops fraud'.</t>
  </si>
  <si>
    <t>Requires standing (not one-time) investment in adversarial-dataset retraining, model-drift monitoring and synthetic-media benchmark refresh — the industrial-landscape implication is that fraud-detection AI has shifted from a CAPEX product to an OPEX subscription-like commitment, industry-wide.</t>
  </si>
  <si>
    <t>Demands a genuinely new skill combination — ML engineers who understand adversarial robustness, not just model accuracy — that is scarce in the Indian insurance-tech labour market specifically (a workforce gap the project has not yet sized).</t>
  </si>
  <si>
    <t>The Capture Integrity Gate (EXIF forensics, live capture, synthetic-image screening) is ClaimPulse's most defensible component precisely because it is the least commoditised — this regime is the strongest argument for treating fraud-graph/capture-integrity IP as the core moat rather than the AI models themselves.</t>
  </si>
  <si>
    <t>Legitimate claimants risk becoming collateral damage as fraud thresholds tighten (the friction-on-honest-claims risk already flagged in the Industrial Trend Resilience Framework's S4 sheet) — the demand-side landscape bifurcates into 'trusted fast-lane' and 'scrutinised slow-lane' customers, a segmentation the current product design does not yet make explicit to policyholders.</t>
  </si>
  <si>
    <t>S2 — The Adversarial Digital Claim</t>
  </si>
  <si>
    <t>Technology engine</t>
  </si>
  <si>
    <t>Base (90% detection, target held) through Extreme (Adversarial Gap turns NEGATIVE — detection falls below the pre-ClaimPulse baseline). The only column in the entire workbook where generation capability is modelled as overtaking detection.</t>
  </si>
  <si>
    <t>The Adversarial Gap (Insurer Detection Capability minus Generation Capability) is the variable that matters, not either capability in absolute terms — this reframes industry competition from a static 'best fraud model' race to a continuous, standing arms race that structurally favours insurers with retraining infrastructure over one-time model builders, identical to the finding in both the Industrial (S3) and Social (Scenario 2) engines.</t>
  </si>
  <si>
    <t>ControlExpert/NVIDIA's vendor-claimed 95% synthetic-detection accuracy (explicitly labelled T3, not an audited Indian-market figure) illustrates that even the vendor ecosystem's own confidence claims cannot yet be verified for the Indian motor market specifically — sourcing quality itself is an ecosystem-maturity constraint.</t>
  </si>
  <si>
    <t>No India-specific rule addresses synthetic-media generation or detection capability directly — this scenario's entire industrial-landscape exposure sits in a genuine regulatory gap that IRDAI's AI Working Group (E07) may or may not close within its 3-month mandate.</t>
  </si>
  <si>
    <t>Even at Extreme, the labour engine survives: the model's own zero-fraud-lift downside case (₹1.63 Cr/month labour-only, 3.24-month payback, TE19) is the anchor resilience finding — the business model does not require winning the adversarial equilibrium, a defensible pitch reused consistently across all four trend files.</t>
  </si>
  <si>
    <t>TE05 (synthetic-media generation capability) has NO SOURCE AT ALL anywhere in the repository — this is simultaneously the highest-consequence and worst-evidenced cost/capital risk in the entire four-file project, meaning any capital allocated to counter it today is allocated against a structural argument, not a measured threat curve.</t>
  </si>
  <si>
    <t>Requires a fraud-detection function that treats 'Fraud Detection Resilience' as Performance(post-adaptation)/Performance(baseline), not a static accuracy claim — a continuous-improvement operating model, not a build-and-forget engineering team.</t>
  </si>
  <si>
    <t>The recommended strategic response is explicit: invest in Capture Integrity and synthetic-media detection, but recognise this is a RISK-MITIGATION investment, not a return-generating one — the moat here is defensive resilience, not offensive differentiation.</t>
  </si>
  <si>
    <t>As with the Social engine's Scenario 2, legitimate claimants risk becoming collateral damage as detection thresholds tighten in response to adversarial pressure — the customer-experience cost of fraud defence rises precisely when fraud defence itself is under the most strain.</t>
  </si>
  <si>
    <t>Scenario 2 — Smartphone Evidence Integrity / Synthetic-Fraud Arms Race</t>
  </si>
  <si>
    <t>Level 1 (90% detection, Capture Integrity Layer holds) through Level 3 (62%, legacy detection neutralised against AI-fabricated evidence specifically) — grounded in AI-generated fakes passing traditional verification &gt;90% of the time (*13).</t>
  </si>
  <si>
    <t>Deepfake fraud attempts reported up 2,137% over three years (*13) means every insurer's static fraud model is racing the same decay curve simultaneously — competitive advantage accrues to whoever retrains fastest and has the deepest labelled-fraud dataset, not whoever built the original model best.</t>
  </si>
  <si>
    <t>98% of insurers say AI-editing tools are fuelling fraud and 99% have already encountered manipulated documentation (*12) — this is an industry-wide operational reality today, not a future risk, meaning cross-insurer fraud-intelligence sharing is already commercially rational even though no such consortium currently exists in India.</t>
  </si>
  <si>
    <t>No IRDAI rule specifically addresses synthetic-media claims fraud — insurer self-defence is running ahead of regulation, identical to the Industrial engine's S3 finding, confirming this is a genuine cross-cutting gap rather than a scenario-specific artefact.</t>
  </si>
  <si>
    <t>The KEY RESILIENCE FINDING carries directly into the business model: even at Level 3 (fraud detection at the pre-ClaimPulse 62% baseline), the labour-only engine still shows a 3.24-month payback — the investment case does not require winning the fraud arms race, which is a materially more defensible board-level pitch than 'AI stops fraud'.</t>
  </si>
  <si>
    <t>Investigation cost becomes a STANDING operating line at Level 3, not a one-time build cost — SIU capacity and synthetic-media-detection tooling both require continuous re-investment as the arms race progresses.</t>
  </si>
  <si>
    <t>Legitimate claimants flagged by tightening thresholds have a plausible NPS cost that the current model does not quantify — customer-facing claims staff will need training to distinguish genuine evidence anomalies (poor lighting, indoor capture) from actual fraud signals as false-positive pressure rises.</t>
  </si>
  <si>
    <t>Synthetic-media detection is explicitly positioned as a differentiator in the submitted deck, and the deck's own claim that 'no vendor anywhere defends motor claims against AI-generated damage media' holds up within India with one flagged exception (Inspektlabs) — meaning this remains a genuine, if narrow and eroding, moat.</t>
  </si>
  <si>
    <t>Gallery uploads silently break metadata forensics (primary research finding) — the demand-side education burden (teaching customers to use live capture, not gallery upload) is itself a customer-experience cost of the fraud-defence architecture.</t>
  </si>
  <si>
    <t>S3 — Adversarial Claims &amp; Fraud Evolution</t>
  </si>
  <si>
    <t>G1: minor evasion, unaffected precision. G4: continuous adversarial arms race requiring standing retraining infrastructure. Own risk model's zero-fraud downside case (labour-only Rs1.63 Cr/month, 3.24-month payback) is the floor this scenario tests toward.</t>
  </si>
  <si>
    <t>Identical dynamic to the Customer/Social engine's R3 — fraud-detection advantage decays to whichever insurer retrains fastest, not whoever built the best original model, converging the entire industry toward a standing-infrastructure competitive requirement rather than a one-time capability gap.</t>
  </si>
  <si>
    <t>SIU capacity, garage-network fraud-signal sharing, and cross-insurer fraud-ring intelligence all become more valuable as adversarial sophistication rises — this scenario is the strongest case in the entire four-file project for an industry-wide (not just Bajaj-internal) fraud-intelligence consortium, though none currently exists.</t>
  </si>
  <si>
    <t>The least regulated of the four industrial scenarios — no IRDAI rule specifically addresses AI-generated claims fraud, meaning insurer self-defence (Capture Integrity Layer, EXIF forensics) is running AHEAD of, not in response to, any compliance mandate.</t>
  </si>
  <si>
    <t>Confirms fraud avoidance as upside, not load-bearing: the resilience verdict explicitly reframes the investment thesis around the labour/orchestration engine as the PRIMARY dependable return driver, with fraud economics as a secondary, more volatile contributor — a materially more defensible pitch than 'AI stops fraud'.</t>
  </si>
  <si>
    <t>G3-G4 requires continuous retraining, adversarial-dataset curation, model-drift monitoring and synthetic-media benchmark refresh as PERMANENT infrastructure — the same OPEX-not-CAPEX shift the Customer/Social engine's R3 identifies, confirming this is a structural, not scenario-specific, industry pattern.</t>
  </si>
  <si>
    <t>Requires adversarial-ML expertise that is scarce specifically in the Indian insurtech labour market — a workforce constraint that could bind before the technology itself does.</t>
  </si>
  <si>
    <t>The Capture Integrity Layer's specific, nameable components (EXIF forensics, synthetic-image screening, live capture, fraud/duplicate graph) are exactly what an adaptive adversary would target first — meaning this is simultaneously ClaimPulse's most-differentiated capability and its most exposed one.</t>
  </si>
  <si>
    <t>At G3-G4, tightening fraud thresholds risk penalising legitimate claimants with unusual-but-honest evidence patterns — the same friction-on-honest-claims risk flagged in S4, meaning fraud defence and customer experience are in direct tension at the severe end of this scenario.</t>
  </si>
  <si>
    <t>THEME 5  —  COMMODITISATION AND COMPETITIVE CONVERGENCE</t>
  </si>
  <si>
    <t>The most strategically dangerous theme, because it is financially favourable at every grade. The risk is competitive, not economic.</t>
  </si>
  <si>
    <t>R4 — Commoditisation-Moat Transition (AI Commoditisation / Claims-Orchestration Economy)</t>
  </si>
  <si>
    <t>G1: run cost -10% (inference deflation begins). G4: run cost -40%. Financially favourable at every grade — the real landscape risk here is competitive, not economic, and is deliberately NOT quantified on this sheet.</t>
  </si>
  <si>
    <t>The most strategically dangerous regime precisely because it looks financially benign — as component AI (OCR, basic CV, generic LLM) becomes commodity-priced, ANY competitor can assemble a comparable stack cheaply, which is exactly the mechanism the Industrial Trend Resilience Framework's S2 (Competitive AI Convergence) already carries as the single largest expected-loss line in the project's own risk model (50% probability x 15% erosion).</t>
  </si>
  <si>
    <t>Value migrates away from AI-model vendors toward whoever owns the DATA relationships — garage networks, historical claims corpora, fraud-graph history — making ecosystem partnerships (not model licensing) the scarce, negotiable asset in this future.</t>
  </si>
  <si>
    <t>Largely regulation-neutral — commoditisation is a market-structure phenomenon, not a compliance one, so this regime does not interact meaningfully with IRDAI/DPDP in either direction.</t>
  </si>
  <si>
    <t>Forces a pivot from 'we have proprietary AI' to 'we own the orchestration layer and the data moat' as the investor narrative — the business model's defensibility argument must shift entirely, since the current pitch language ('fuses document AI + CV + fraud graph + RAG into one pipeline') is itself a component list that commoditises exactly as this regime describes.</t>
  </si>
  <si>
    <t>Counter-intuitively REDUCES near-term capital intensity (inference-cost deflation lowers run cost at every grade) while simultaneously raising the STRATEGIC capital question of whether savings should be reinvested in data/ecosystem assets rather than distributed as margin — a capital-allocation decision the current model does not address.</t>
  </si>
  <si>
    <t>Shifts the highest-value technical talent from model-building to data-architecture and orchestration-engineering roles — teams optimised for training bespoke models may be mis-specified for a commoditised-component future.</t>
  </si>
  <si>
    <t>The central strategic question of the whole four-regime set: can ClaimPulse's moat migrate from AI COMPONENTS (eroding) to DATA + ORCHESTRATION + GOVERNANCE + ECOSYSTEM (durable) faster than competitors replicate the components? Sheet 11's strategic implication ('buy the commodity layers, build the scarce ones') is the direct answer, but it is a strategy statement, not yet a costed plan.</t>
  </si>
  <si>
    <t>Largely invisible to the end customer — policyholders do not experience commoditisation directly, so this regime's landscape impact is entirely B2B/strategic (Bajaj's own build-vs-buy calculus, competitor positioning) rather than demand-side.</t>
  </si>
  <si>
    <t>S2 — Competitive AI Convergence</t>
  </si>
  <si>
    <t>G1: 1-2 modules matched by a rival (~5% erosion). G4: full end-to-end parity or competitor superiority. Already the single largest expected-loss line in the project's own 3-Year Forecast risk model (C5: 50% probability x 15% erosion from Year 2).</t>
  </si>
  <si>
    <t>The defining strategic risk of the entire ClaimPulse project — MOFSL's Mar 2026 data already shows Go Digit, Tata AIG and SBI General gaining Motor OD share consistently, meaning the competitive convergence this scenario models is not hypothetical, it is an observed trend the project's own risk model already prices at 50% probability.</t>
  </si>
  <si>
    <t>At G3-G4, the required response shifts from technology differentiation to ECOSYSTEM differentiation — Bajaj-specific claims data, proprietary garage-network feedback loops, and fraud-graph history become the negotiable assets, exactly mirroring the Customer/Social engine's R4 (Commoditisation) landscape logic.</t>
  </si>
  <si>
    <t>Regulation-neutral — this is a pure market-structure/competitive-dynamics scenario, and IRDAI's posture does not meaningfully accelerate or retard rival AI adoption either way.</t>
  </si>
  <si>
    <t>Forces the investor pitch to evolve from 'we have AI, they don't' (the current deck's stated white-space claim) to a defensible, continuously-refreshed differentiation story — 'we have AI' stops being sufficient exactly as the deck's own current framing risks becoming stale.</t>
  </si>
  <si>
    <t>G3-G4 requires INCREMENTAL capital for a continuous competitive-benchmarking function (quarterly ClaimPulse-vs-competitor KPI tracking) that does not exist in the current build plan — this is a new, recurring cost line, not a one-time response.</t>
  </si>
  <si>
    <t>Shifts organisational emphasis from build-and-ship to build-and-continuously-differentiate — requires a standing competitive-intelligence/product function tracking rival claims-AI capability, a role BFDL's current org design does not appear to include.</t>
  </si>
  <si>
    <t>THE central moat question for the whole project: is ClaimPulse a genuine strategic capability or a temporary automation head start? At G4, the answer must be 'proprietary data + feedback loops + garage ecosystem', not 'better AI' — since better AI is exactly what this scenario assumes a rival eventually achieves.</t>
  </si>
  <si>
    <t>Largely invisible directly to policyholders (they don't see competitor internals), but indirectly material: if a rival matches ClaimPulse's TAT/STP, Bajaj's customer-acquisition pricing power on 'best claims experience' erodes even without any change to ClaimPulse's own performance.</t>
  </si>
  <si>
    <t>THEME 6  —  AUTONOMOUS CLAIMS MARKET AND ORCHESTRATION OWNERSHIP</t>
  </si>
  <si>
    <t>Unique to the Technology engine. The question is not whether AI orchestrates claims, but who owns the orchestration layer.</t>
  </si>
  <si>
    <t>S1 — The Autonomous Claims Market</t>
  </si>
  <si>
    <t>Base (0.2m ramp) through Extreme (capacity-realisation factor 0.88, Breakpoint H* pressure). Isolates automation depth alone, holding fraud detection at the 90% target throughout.</t>
  </si>
  <si>
    <t>As AI matures from task-assist to decision-orchestration industry-wide, the competitive question shifts to WHO OWNS THE ORCHESTRATION LAYER — if Bajaj builds it internally or a platform/OEM/TPA builds it first, ClaimPulse's moat weakens regardless of component quality, making this the single most strategically consequential question in the Technology-field engine.</t>
  </si>
  <si>
    <t>Surveyors, document-reviewers and claims-handlers become EXCEPTION MANAGERS rather than primary processors — a structural workforce-role change across the industry, not just within Bajaj, that reshapes what the surveyor profession does even where it survives.</t>
  </si>
  <si>
    <t>Directly gated by IRDAI's own app-based AI-assessment posture (already confirmed, Dec 2025) and the ₹50,000 surveyor-exemption threshold — the addressable band for autonomous orchestration is a regulatory constant this scenario cannot expand past without a rule change.</t>
  </si>
  <si>
    <t>At Extreme, ClaimPulse's proposition becomes MORE strategically relevant (automation depth increasing) even as component-level AI (CV, OCR, generic LLM) simultaneously commoditises — pushing differentiation toward data, orchestration, workflow and governance, the same conclusion the Industrial engine's S2 and Customer engine's R4 both reach independently.</t>
  </si>
  <si>
    <t>At Extreme, the capacity-realisation factor (88%) begins eating into theoretical gains — this is the modelled proxy for Breakpoint H* (human exception capacity), flagged as unmodelled and MOST LIKELY TO BIND FIRST; treat the Extreme column as an upper-bound aspiration requiring capacity investment not currently costed, not a planning number.</t>
  </si>
  <si>
    <t>TE04 (agentic workflow reliability) and TE21 (India-specific technology adoption by claims function) are both REQUIRED — NO SOURCE — meaning the workforce-transition plan for this regime rests on structural argument, not measured Indian benchmarks, the single largest talent-planning blind spot in the Technology engine.</t>
  </si>
  <si>
    <t>Build the orchestration layer as the core asset, not the individual AI components — sheet 11's strategic implication directly: test the ownership question (OO*) before assuming ClaimPulse retains the interface, since a Bajaj-internal build or competitor platform capturing orchestration first compresses strategic value regardless of ClaimPulse's own technical performance.</t>
  </si>
  <si>
    <t>Bajaj's own filed digital-servicing metrics (90.9% digital, 64.5% via AI bots, Q1 FY27 investor deck) show the precondition for evidence-volume growth already exists — customer readiness for deeper automation is not the constraint; governance and orchestration-ownership are.</t>
  </si>
  <si>
    <t>THEME 7  —  DATA RICHNESS, CONSENT AND THE REPAIR ECOSYSTEM</t>
  </si>
  <si>
    <t>Evidence available is not evidence usable. DPDP is the hardest dated constraint in the project, and the most plannable.</t>
  </si>
  <si>
    <t>S3 — The Data-Rich, Trust-Constrained Claims Market</t>
  </si>
  <si>
    <t>Base (evidence usability unconstrained) through Extreme (usable-evidence fraction bimodal — recovers if Evidence Trust Engine is built, or declines further if not). Isolates evidence usability, holding fraud detection at target throughout.</t>
  </si>
  <si>
    <t>Whichever insurer builds a genuine Multi-Source Evidence Trust Engine first converts DPDP-driven evidence fragmentation from an industry-wide threat into a personal differentiator — identical strategic logic to the Industrial engine's S4 and the Customer engine's Regime-2/R1 evidence-abundance paradox, confirming this is a cross-cutting structural theme, not scenario-specific noise.</t>
  </si>
  <si>
    <t>OEM-controlled telematics ecosystems and garage-platform data gatekeeping are the two ecosystem forces this scenario names explicitly — both sit largely outside ClaimPulse's direct control, meaning the industrial-landscape response requires COMMERCIAL negotiation (data-sharing agreements) as much as technical architecture.</t>
  </si>
  <si>
    <t>DPDP Rules 2025 (compliance deadline 13 May 2027, TE12 FACT) is the one hard, dated constraint anchoring this scenario — the most PLANNABLE regulatory deadline in the Technology engine even though the ultimate severity of its Green-lane impact remains a scenario assumption.</t>
  </si>
  <si>
    <t>Evolves the Trust Score from an AI SCORE into an EVIDENCE-CONSISTENCY SCORE if built well — a materially stronger institutional proposition to pitch to BFDL IF underlying sources are integrable, but one that risks orchestration complexity exploding into the binding constraint if sources remain fragmented.</t>
  </si>
  <si>
    <t>TE22 (evidence richness vs integration complexity) has NO SOURCE — no India OEM-API or telematics-standard fragmentation index exists anywhere, meaning the capital required to build cross-source integration cannot currently be sized with any external benchmark, only internal/pilot data.</t>
  </si>
  <si>
    <t>Requires consent-architecture and data-provenance engineering capability — a discipline that sits between compliance, data engineering and ML, and is not clearly owned by any single function in BFDL's current org design.</t>
  </si>
  <si>
    <t>A properly-built Evidence Trust Engine converts what looks like a threat into simply a different, richer operating environment — this scenario is the clearest illustration across all four trend files that infrastructure investment can flip a structural risk into a durable moat, provided the investment happens before the constraint fully bites.</t>
  </si>
  <si>
    <t>A plausible next stage combines claimant channel preference shifting toward WhatsApp/gallery-style submission with tightening DPDP consent requirements — the customer's OWN behavioural drift toward convenience-first channels is itself part of what erodes evidence integrity, not solely an external regulatory or ecosystem force.</t>
  </si>
  <si>
    <t>S4 — Claims-Ecosystem &amp; Data Transformation</t>
  </si>
  <si>
    <t>G1 is uniquely POSITIVE (better data, structural upside). G3-G4: signal restrictions and evidence-architecture shift. Consolidates what were four separate shocks (live-capture resistance, DPDP/privacy restriction, garage-ecosystem shift, claim-complexity rise) into one evidence-availability dependency.</t>
  </si>
  <si>
    <t>The one scenario where being EARLY is a genuine advantage rather than merely defensive — an insurer that builds a Multi-Source Evidence Trust Engine before evidence fragmentation forces it to converts a threat into a differentiator, while laggards are forced to rebuild reactively.</t>
  </si>
  <si>
    <t>Garage/OEM ecosystems increasingly gatekeeping repair and vehicle data behind proprietary APIs is the single most consequential ecosystem shift across all four industrial scenarios — it directly threatens ClaimPulse's cost-engine and damage-assessment inputs, not just a downstream KPI.</t>
  </si>
  <si>
    <t>DPDP Rules 2025 (notified 13 Nov 2025, compliance deadline 13 May 2027) is the one dated, hard regulatory fact anchoring this entire scenario — unlike S1's still-unpublished IRDAI framework, this deadline is fixed and known, making it the most PLANNABLE regulatory constraint in the project even though its ultimate severity (G1-G4 threshold) remains a scenario assumption.</t>
  </si>
  <si>
    <t>At G4, the business model must evolve from 'live-capture-only' to 'Evidence-agnostic Claims Intelligence Layer' — a fundamentally different product positioning that accepts gallery, WhatsApp, garage and telematics evidence with differentiated confidence scores rather than a single binary capture-integrity gate.</t>
  </si>
  <si>
    <t>Requires building EvidenceConfidence = f(Image, Video, GPS, Timestamp, Policy, Vehicle, Garage, ClaimHistory) — a materially more complex multi-source confidence model than the current binary EXIF-based gate, representing the single largest architecture-rebuild capex risk of the four scenarios if G3-G4 materialises.</t>
  </si>
  <si>
    <t>Demands data-engineering and API-integration capability (OEM/telematics/garage-system integration) that is a different skill set from the CV/fraud-detection ML talent the other three scenarios emphasise — this scenario's talent requirement is the least overlapping with the rest of the project.</t>
  </si>
  <si>
    <t>ClaimPulse's current design choice — guided live capture with gallery disabled, specifically for EXIF integrity — is simultaneously its clearest current differentiator AND the exact assumption this scenario stress-tests at G3-G4; the repurposing path (Evidence-agnostic Claims Intelligence Layer) converts a structural threat into a broader, more durable moat if built proactively.</t>
  </si>
  <si>
    <t>G3's friction point is named explicitly in the source framework: the very capture-integrity layer designed to prevent fraud becomes a bottleneck for COMPLIANT customers submitting evidence through non-ideal channels (poor signal, indoor capture, shared devices) — a direct customer-experience cost of the anti-fraud design choice.</t>
  </si>
  <si>
    <t>Scenario 4 — Repair/Ecosystem Digitisation as a Dependency</t>
  </si>
  <si>
    <t>Level 1 (repair network unconnected, 0% TAT reduction) through Level 3 (fully API-connected, 50% TAT reduction on Amber/Red lanes) — TAT impact is fully sourced; repair-cost leakage avoidance has a sourced RATE (25%, Autorox) but deliberately no invented rupee base.</t>
  </si>
  <si>
    <t>Insurers are consolidating toward integrated claims-to-repair platforms industry-wide (*24) — garage-network API depth becomes a competitive variable independent of the AI models themselves, rewarding insurers with deeper physical-world ecosystem relationships over pure-technology players.</t>
  </si>
  <si>
    <t>The most ecosystem-dependent of the five scenarios by construction — Autorox already connects 1,000+ repair partners in India (*25), meaning the infrastructure for this scenario partly exists today and the question is integration depth, not technology availability.</t>
  </si>
  <si>
    <t>Regulation-neutral — repair-ecosystem digitisation is a commercial/operational trend, not one IRDAI is currently directing or constraining either way.</t>
  </si>
  <si>
    <t>Repair-cost leakage avoidance has a sourced RATE (up to 25% reduction, vendor-reported/Autorox) but deliberately NO invented rupee figure — the business case is real but current unquantifiable, and the workbook explicitly refuses to fabricate the missing base rather than presenting a fake number.</t>
  </si>
  <si>
    <t>Requires garage-network API integration investment that is largely OUTSIDE ClaimPulse's own build — this scenario's capital requirement is partly a Bajaj-ecosystem negotiation cost (garage partnership terms), not a pure engineering cost.</t>
  </si>
  <si>
    <t>Demands partnership/vendor-management capability (negotiating and maintaining garage-network API relationships) as much as engineering capability — a commercial, not purely technical, skill requirement.</t>
  </si>
  <si>
    <t>Genuinely durable if built: garage-network relationships are slow to replicate and represent exactly the kind of ecosystem asset the Industrial engine's S2/S4 scenarios identify as the post-commoditisation moat — this scenario is where that abstract strategic argument becomes concrete and actionable.</t>
  </si>
  <si>
    <t>Garages will share live cost data for faster payment cycles — an unused lever (primary research finding) — meaning the demand-side benefit (faster claims) is currently bottlenecked by an underused SUPPLY-side incentive, not by technology.</t>
  </si>
  <si>
    <t>THEME 8  —  COMBINED STRESS TEST</t>
  </si>
  <si>
    <t>The only case in the entire project where net benefit turns negative. Deliberately engineered, not probability-weighted.</t>
  </si>
  <si>
    <t>W8 — Combined Stress Test (Extreme only)</t>
  </si>
  <si>
    <t>All three regimes' Extreme columns simultaneously — autonomous-decisioning pressure, adversarial evidence, and consent-constrained data richness compounding at once. This is the case that must be SURVIVABLE, not optimal.</t>
  </si>
  <si>
    <t>Net monthly benefit turns NEGATIVE at W8 Extreme (-₹0.53 Cr/month) — this is the single most important finding for the CEO panel across the entire Technology engine: it identifies the threshold beyond which ClaimPulse's own architecture, not just the competitive environment, would need to change, a materially different message than any individual regime alone conveys.</t>
  </si>
  <si>
    <t>Every ecosystem stress identified individually in S1-S3 (surveyor displacement, vendor sourcing gaps, OEM/garage gatekeeping) compounds simultaneously — the combined case is a genuine stress test of whether Bajaj's ecosystem relationships can absorb multiple simultaneous shocks, not just one at a time.</t>
  </si>
  <si>
    <t>Combines an unpublished IRDAI AI framework (S1/governance), an unaddressed synthetic-media regulatory gap (S2), and a hard DPDP deadline (S3) into one scenario — the regulatory landscape here is the least coordinated of any single scenario, since three different regulatory threads move on three different, uncoordinated timelines.</t>
  </si>
  <si>
    <t>The plausibility-flag language used elsewhere in the project (MOIC/IRR figures 'too good to be true') has its mirror image here — W8 is deliberately NOT a probability-weighted forecast but an engineered stress test, the same way the original zero-fraud downside case was used: a survivability gate, not a prediction.</t>
  </si>
  <si>
    <t>Every capital requirement flagged individually across S1 (governance infrastructure), S2 (standing retraining), and S3 (evidence-integration engineering) applies simultaneously at W8 — this is the true worst-case capital-intensity scenario, and the current build-cost estimate does not size a combined response.</t>
  </si>
  <si>
    <t>Requires the organisation to simultaneously build orchestration-ownership capability, adversarial-ML resilience, AND consent-architecture engineering — three largely non-overlapping skill sets, meaning W8 is also the scenario most likely to be constrained by TALENT AVAILABILITY in the Indian market, not just capital.</t>
  </si>
  <si>
    <t>If ClaimPulse's architecture survives W8 without a fundamental rebuild, that survivability IS the moat — resilience under combined stress is a claim no competitor can cheaply replicate, since it requires having actually built (not merely planned) governance, adversarial-defence and evidence-integration infrastructure simultaneously.</t>
  </si>
  <si>
    <t>Every individual-scenario customer friction (autonomy distrust from S1, fraud-threshold false positives from S2, evidence-submission friction from S3) compounds — the claimant experiences ALL of these simultaneously in the worst case, meaning W8's true customer-experience cost is understated by summing the three scenarios' effects independently.</t>
  </si>
  <si>
    <t>Resilience and Breakpoints  ·  the point at which the model stops working, calculated rather than asserted</t>
  </si>
  <si>
    <t>HEADLINE. Do not say ClaimPulse is resilient. Say where it breaks. Nine breakpoints are defined below; five are computable from the live model today, four are not. Of the four, the human exception-handling ceiling is the one flagged by two independent engines as MOST LIKELY TO BIND FIRST, and it is currently unmodelled. That is the honest weak point of this case and it is stated here rather than left to be found.</t>
  </si>
  <si>
    <t>SECOND HEADLINE. The fraud floor has already been breached in testing and the model survived it. On the LIVE model, with fraud benefit set entirely to zero, the case still returns a net Rs 3.20 Cr a year and repays the build in 37.05 months. The investment case does not require winning the fraud arms race, but the honest floor is a three-year payback, not the three-month figure the research engines carried.</t>
  </si>
  <si>
    <t>SCOPE. Parts A to F set out the breakpoint framework. Every figure quoted below is computed on the live model as at 12 August 2026.</t>
  </si>
  <si>
    <t>SOURCE. Merged from the Customer engine (seven breakpoints) and the Technology engine (eight, two of which are new). Duplicates are stated once. The Industrial engine's scoring formulas and grade interpretation are carried in Parts D and E.</t>
  </si>
  <si>
    <t>PART A  —  THE NINE BREAKPOINTS</t>
  </si>
  <si>
    <t>Breakpoint</t>
  </si>
  <si>
    <t>The question it answers</t>
  </si>
  <si>
    <t>Status</t>
  </si>
  <si>
    <t>Raised by</t>
  </si>
  <si>
    <t>STP*</t>
  </si>
  <si>
    <t>Straight-through processing floor</t>
  </si>
  <si>
    <t>At what Green-lane percentage does NPV become zero? The related figure is live at UE-11 on Sheet 5: break-even rollout on labour savings alone is 36.19 per cent at the Base plan. STP* is the lane-share equivalent.</t>
  </si>
  <si>
    <t>Computable from the live model</t>
  </si>
  <si>
    <t>Customer and Technology</t>
  </si>
  <si>
    <t>FD*</t>
  </si>
  <si>
    <t>Fraud detection floor</t>
  </si>
  <si>
    <t>At what fraud-detection capability does fraud economics cease contributing? Build the curve across 62 / 70 / 75 / 80 / 82 / 85 / 90 per cent rather than quoting a point target</t>
  </si>
  <si>
    <t>Computable and demonstrated. On the live model the absolute floor, with fraud benefit set to zero, is a net Rs 3.20 Cr a year and the build still repays in 37.05 months.</t>
  </si>
  <si>
    <t>C*</t>
  </si>
  <si>
    <t>Complexity ceiling</t>
  </si>
  <si>
    <t>At what proportion of claims migrating to Amber or Red does operating economics break?</t>
  </si>
  <si>
    <t>Requires lane calibration from pilot</t>
  </si>
  <si>
    <t>H*</t>
  </si>
  <si>
    <t>Human exception capacity ceiling</t>
  </si>
  <si>
    <t>At what exception volume does human-review capacity begin materially increasing P90 TAT?</t>
  </si>
  <si>
    <t>Requires Bajaj claims-operations data. Identified as the constraint most likely to bind first, and the first measurement the pilot instruments.</t>
  </si>
  <si>
    <t>AIcost*</t>
  </si>
  <si>
    <t>AI and inference cost ceiling</t>
  </si>
  <si>
    <t>At what inference or run-cost level does AI economics stop being attractive? Directly tests the commoditisation-versus-cost race</t>
  </si>
  <si>
    <t>V*</t>
  </si>
  <si>
    <t>Addressable volume floor</t>
  </si>
  <si>
    <t>What minimum claim volume is required for positive NPV?</t>
  </si>
  <si>
    <t>G*</t>
  </si>
  <si>
    <t>Governance cost ceiling</t>
  </si>
  <si>
    <t>How much additional compliance, audit and validation cost can the system absorb before ROI falls below Bajaj's hurdle rate?</t>
  </si>
  <si>
    <t>Partially computable. Sheet 8 Part B scenario S5 tests plus 15 and plus 20 per cent of build</t>
  </si>
  <si>
    <t>AG*</t>
  </si>
  <si>
    <t>Adversarial gap floor</t>
  </si>
  <si>
    <t>At what point does the adversarial gap turn negative, meaning generation capability overtakes detection, and the fraud cascade begins?</t>
  </si>
  <si>
    <t>Bounded rather than computed: it rests on synthetic-media generation capability, for which no published series exists. Sheet 8 Part B bounds the consequence by running detection back to the 62 per cent baseline.</t>
  </si>
  <si>
    <t>OO*</t>
  </si>
  <si>
    <t>Orchestration ownership threshold</t>
  </si>
  <si>
    <t>At what point does an external party, whether Bajaj-internal, an OEM, a TPA or a platform, capture enough of the orchestration layer that ClaimPulse's strategic value materially compresses?</t>
  </si>
  <si>
    <t>No quantification source. Qualitative only</t>
  </si>
  <si>
    <t>PART B  —  THREE RESILIENCE DIMENSIONS  ·  reported separately, never averaged</t>
  </si>
  <si>
    <t>Dimension</t>
  </si>
  <si>
    <t>Definition</t>
  </si>
  <si>
    <t>1. Economic resilience</t>
  </si>
  <si>
    <t>ER = NPV under the scenario divided by NPV at base. A ratio, computable per regime</t>
  </si>
  <si>
    <t>Computable</t>
  </si>
  <si>
    <t>2. Operational resilience</t>
  </si>
  <si>
    <t>Deterioration in P90 TAT, human workload, STP, reinspection rate and exception rate</t>
  </si>
  <si>
    <t>Requires a P90 distribution, which the pilot produces. See U-08 on Sheet 7.</t>
  </si>
  <si>
    <t>3. Architectural resilience</t>
  </si>
  <si>
    <t>Can the architecture absorb new fraud vectors, new models, new data sources, new governance requirements and new ecosystem integrations WITHOUT rebuilding the core? Qualitative but testable via Part D</t>
  </si>
  <si>
    <t>Assessable today</t>
  </si>
  <si>
    <t>Output is a resilience PROFILE across three dimensions per regime, not a single weighted score.</t>
  </si>
  <si>
    <t>PART C  —  COMPONENT DEPENDENCY MATRIX  ·  what each engine depends on and what happens when it fails</t>
  </si>
  <si>
    <t>Technology, data and external dependency</t>
  </si>
  <si>
    <t>Failure impact</t>
  </si>
  <si>
    <t>Capture Integrity</t>
  </si>
  <si>
    <t>Very high technology dependency; high data dependency; device-level external dependency</t>
  </si>
  <si>
    <t>Very high. It gates every downstream engine</t>
  </si>
  <si>
    <t>CV Damage</t>
  </si>
  <si>
    <t>Very high technology dependency; very high data dependency; model and API external dependency</t>
  </si>
  <si>
    <t>Very high technology dependency; very high data dependency; claims-history external dependency</t>
  </si>
  <si>
    <t>Very high</t>
  </si>
  <si>
    <t>Cost Engine</t>
  </si>
  <si>
    <t>High technology dependency; high data dependency; garage and parts external dependency</t>
  </si>
  <si>
    <t>Policy RAG</t>
  </si>
  <si>
    <t>High technology dependency; medium data dependency; policy-corpus external dependency</t>
  </si>
  <si>
    <t>Medium</t>
  </si>
  <si>
    <t>Trust Score</t>
  </si>
  <si>
    <t>Very high technology dependency; very high data dependency. ALL upstream models feed it</t>
  </si>
  <si>
    <t>CRITICAL. The concentration point of the entire architecture</t>
  </si>
  <si>
    <t>PART D  —  ARCHITECTURE RESILIENCE  ·  can each layer absorb the shock without a rebuild?</t>
  </si>
  <si>
    <t>Architecture layer</t>
  </si>
  <si>
    <t>Which scenario tests it, and the evidence position</t>
  </si>
  <si>
    <t>Capture</t>
  </si>
  <si>
    <t>Tested most directly by the data-richness scenario. Evidence richness against integration complexity is carried qualitatively.</t>
  </si>
  <si>
    <t>Data ingestion</t>
  </si>
  <si>
    <t>Tested by OEM and telematics fragmentation. Carried qualitatively.</t>
  </si>
  <si>
    <t>AI models</t>
  </si>
  <si>
    <t>Tested by commoditisation pressure. No open-weight parity series held</t>
  </si>
  <si>
    <t>Orchestration</t>
  </si>
  <si>
    <t>Tested by the ownership question. No quantification source</t>
  </si>
  <si>
    <t>The concentration point. Tested by all three technology scenarios simultaneously</t>
  </si>
  <si>
    <t>Human review</t>
  </si>
  <si>
    <t>Tested by the exception-load cascade and breakpoint H*. Quantified from pilot telemetry.</t>
  </si>
  <si>
    <t>Audit layer</t>
  </si>
  <si>
    <t>Tested by the governance cost ceiling G*. The obligation is FACT; the cost model is internal</t>
  </si>
  <si>
    <t>PART E  —  RESILIENCE SCORING METHOD  ·  the measurement definitions, to be populated from pilot telemetry</t>
  </si>
  <si>
    <t>These ratios require per-scenario NPV and operating-KPI deltas, which the pilot produces. They are recorded here so the method is auditable and so no resilience score is ever presented without its construction stated.</t>
  </si>
  <si>
    <t>Ratio</t>
  </si>
  <si>
    <t>Formula</t>
  </si>
  <si>
    <t>Operational resilience (OR)</t>
  </si>
  <si>
    <t>OR = 1 minus (change in TAT plus change in touches plus change in STP) divided by base</t>
  </si>
  <si>
    <t>Requires per-grade operating-KPI deltas</t>
  </si>
  <si>
    <t>Financial resilience (FR)</t>
  </si>
  <si>
    <t>FR = NPV under scenario divided by NPV at base</t>
  </si>
  <si>
    <t>Requires a quantified NPV per scenario per grade</t>
  </si>
  <si>
    <t>Model resilience (MR)</t>
  </si>
  <si>
    <t>MR = performance under scenario divided by performance at base. Performance must be defined per shock: fraud precision for the adversarial scenario, evidence confidence for the data scenario</t>
  </si>
  <si>
    <t>Definition-dependent</t>
  </si>
  <si>
    <t>Strategic resilience (SR)</t>
  </si>
  <si>
    <t>SR = differentiation under scenario divided by differentiation at base</t>
  </si>
  <si>
    <t>Carried as a qualitative 1 to 5 assessment; no quantified proxy exists.</t>
  </si>
  <si>
    <t>Composite index (CRI)</t>
  </si>
  <si>
    <t>CRI = w1.MR + w2.OR + w3.FR + w4.SR + w5.CR, where CR is compliance resilience</t>
  </si>
  <si>
    <t>Weights are a business-judgement input, not a research output. Whatever weights are chosen are stated wherever CRI is presented.</t>
  </si>
  <si>
    <t>PART F  —  GRADE INTERPRETATION AND REPURPOSING  ·  what each severity grade actually means</t>
  </si>
  <si>
    <t>Grade</t>
  </si>
  <si>
    <t>G1  Resilient / Early</t>
  </si>
  <si>
    <t>Minor KPI impact, parameter adjustment. No architecture change</t>
  </si>
  <si>
    <t>G2  Adaptive / Material</t>
  </si>
  <si>
    <t>Measurable KPI and financial deterioration. Recalibration required: thresholds, workflow, limited retraining</t>
  </si>
  <si>
    <t>G3  Architecturally stressed / Structural</t>
  </si>
  <si>
    <t>Architecture intervention required: new data, new model, new human-in-loop, orchestration changes. The investment thesis survives ONLY after adaptation</t>
  </si>
  <si>
    <t>G4  Transformational</t>
  </si>
  <si>
    <t>The original configuration is no longer optimal. This is NOT a catastrophe. The business model or architecture must adapt, and the question becomes whether the platform can be repurposed</t>
  </si>
  <si>
    <t>REPURPOSING AT G4. Each transformational grade has a named destination, which is what makes G4 a strategic decision rather than a failure.</t>
  </si>
  <si>
    <t>If this happens at G4</t>
  </si>
  <si>
    <t>ClaimPulse becomes</t>
  </si>
  <si>
    <t>Auto-settlement restricted by regulation</t>
  </si>
  <si>
    <t>An AI claims decision-support platform. Recommendation plus human settlement, not autonomous settlement</t>
  </si>
  <si>
    <t>A competitor reaches or exceeds parity</t>
  </si>
  <si>
    <t>A proprietary Bajaj claims-intelligence layer. Data, feedback loops, garage ecosystem and continuously calibrated models, not 'we have AI'</t>
  </si>
  <si>
    <t>The adversarial arms race becomes continuous</t>
  </si>
  <si>
    <t>A living fraud-defence system requiring standing retraining infrastructure, not a one-time build</t>
  </si>
  <si>
    <t>Evidence architecture structurally shifts</t>
  </si>
  <si>
    <t>An evidence-agnostic claims intelligence layer. Multi-source confidence scoring rather than live-capture only</t>
  </si>
  <si>
    <t>Strategy and Early Warning  ·  the response to each scenario, and how to see it coming</t>
  </si>
  <si>
    <t>HEADLINE. The investment case should be judged against the system's BREAKPOINTS, not against a forecast. ClaimPulse's resilience does not come from predicting which future arrives. It comes from four structural mechanisms working in different directions at once: the declining cost of AI capability, rising digital evidence availability, rising complexity of verifying that evidence, and a governance ceiling that limits what may be automated. No single trend reversing breaks the case.</t>
  </si>
  <si>
    <t>SECOND HEADLINE. The downside is NOT 'AI adoption slows'. The critical downside is narrower and more specific: either claim complexity migrates faster than the system can hold Green-lane automation, or adversarial capability closes the fraud-detection gap faster than the models can be recalibrated. Those are the two things to watch.</t>
  </si>
  <si>
    <t>THIRD HEADLINE. Most of the early-warning indicators in Part B are ClaimPulse telemetry, which begins the day the system goes live. That is the argument for the 90-day pilot: the pilot converts these from unmeasurable to monitored.</t>
  </si>
  <si>
    <t>SOURCE. Merged from the Customer and Technology engines, whose strategic conclusions were near-identical and are stated once here. Regime-specific responses are kept separate where they genuinely differ. The KPI framework in Part E is from the Social engine, the transmission chain in Part D from the Industrial engine.</t>
  </si>
  <si>
    <t>PART A  —  STRATEGIC RESPONSE PER SCENARIO  ·  build, buy, partner, monitor, de-risk</t>
  </si>
  <si>
    <t>If this materialises, the strategic response is</t>
  </si>
  <si>
    <t>Trigger to act</t>
  </si>
  <si>
    <t>Experience parity</t>
  </si>
  <si>
    <t>Invest ahead of the friction frontier, but test the marginal-value curve first. Beyond a threshold, further TAT reduction may generate no economic benefit relative to the infrastructure it requires</t>
  </si>
  <si>
    <t>Competitor advertised TAT; Bima Sugam TAT disclosure</t>
  </si>
  <si>
    <t>Controlled autonomy</t>
  </si>
  <si>
    <t>Build the governance architecture as a PRODUCTION requirement, not a compliance layer. Governance is what buys automation permission</t>
  </si>
  <si>
    <t>How the IRDAI AI framework treats adverse decisions</t>
  </si>
  <si>
    <t>Adversarial claims</t>
  </si>
  <si>
    <t>Invest in Capture Integrity and synthetic-media detection. But note the labour engine already carries the case without fraud economics, so this is a risk-mitigation investment, not a return-generating one</t>
  </si>
  <si>
    <t>Synthetic-media flag rate; false-negative fraud cases</t>
  </si>
  <si>
    <t>Commoditisation</t>
  </si>
  <si>
    <t>Shift investment from AI components to DATA, ORCHESTRATION, ECOSYSTEM and GOVERNANCE. The build-versus-buy answer becomes: buy the commodity layers, build the scarce ones</t>
  </si>
  <si>
    <t>Vendor pricing; open-weight performance parity</t>
  </si>
  <si>
    <t>Autonomous claims market</t>
  </si>
  <si>
    <t>BUILD the orchestration layer as the core asset, not the individual AI components. Test the ownership question before assuming ClaimPulse retains the interface. If a Bajaj-internal build, an OEM, a TPA or a platform captures orchestration first, redirect investment toward being the best-integrated component</t>
  </si>
  <si>
    <t>Orchestration-layer build or RFP announcements, internal or competitor</t>
  </si>
  <si>
    <t>Data-rich, trust-constrained</t>
  </si>
  <si>
    <t>BUILD the consent-aware evidence architecture - provenance, permission, source hierarchy, fallback logic - as a production requirement. Do not assume richer data automatically converts to trusted STP. The usable-evidence fraction is the binding constraint, not raw evidence volume</t>
  </si>
  <si>
    <t>DPDP enforcement actions; OEM and telematics API access changes</t>
  </si>
  <si>
    <t>Combined stress test</t>
  </si>
  <si>
    <t>All of the above simultaneously. This is the case that must be SURVIVABLE, not optimal</t>
  </si>
  <si>
    <t>Multiple indicators moving together</t>
  </si>
  <si>
    <t>PART B  —  EARLY WARNING SYSTEM  ·  what to monitor every quarter</t>
  </si>
  <si>
    <t>This is what makes the work operational rather than a static forecast. Management can watch the environment and identify which scenario is becoming real before it is priced in.</t>
  </si>
  <si>
    <t>If this scenario is emerging</t>
  </si>
  <si>
    <t>Monitor these observable indicators</t>
  </si>
  <si>
    <t>Data owner</t>
  </si>
  <si>
    <t>Digital FNOL penetration; average status contacts per claim; customer complaint themes; competitor ADVERTISED TAT; digital self-service completion rate</t>
  </si>
  <si>
    <t>Bajaj CX and competitive intelligence</t>
  </si>
  <si>
    <t>Evidence abundance and integrity</t>
  </si>
  <si>
    <t>Gallery versus live-capture share; first-pass image acceptance rate; EXIF availability rate; reinspection rate; synthetic-media flag rate</t>
  </si>
  <si>
    <t>ClaimPulse telemetry</t>
  </si>
  <si>
    <t>Adversarial AI</t>
  </si>
  <si>
    <t>Suspicious-media prevalence; false-negative fraud cases; fraud-ring clustering density; synthetic-media classifier drift; accessibility and cost of public synthetic-media generation tools</t>
  </si>
  <si>
    <t>SIU and ClaimPulse telemetry</t>
  </si>
  <si>
    <t>Conditional autonomy</t>
  </si>
  <si>
    <t>Human override rate; adverse-decision appeal rate; AI rejection acceptance; Amber to Red migration rate; customer challenge rate</t>
  </si>
  <si>
    <t>ClaimPulse telemetry and Ombudsman data</t>
  </si>
  <si>
    <t>Claims per FTE trend; human-intervention percentage; exception-handling queue depth; agentic-task success rate; orchestration-layer RFP or build announcements</t>
  </si>
  <si>
    <t>ClaimPulse telemetry and Technology function</t>
  </si>
  <si>
    <t>Consent opt-in and opt-out rate; OEM and telematics API access changes; evidence-source diversity per claim; usable-evidence fraction; DPDP enforcement actions</t>
  </si>
  <si>
    <t>Compliance, Legal and ClaimPulse telemetry</t>
  </si>
  <si>
    <t>AI commoditisation (cross-cutting)</t>
  </si>
  <si>
    <t>Model cost per token; open-weight performance parity; competitor AI deployment announcements; vendor pricing; model switching cost</t>
  </si>
  <si>
    <t>Technology function</t>
  </si>
  <si>
    <t>Governance tightening (cross-cutting)</t>
  </si>
  <si>
    <t>IRDAI AI framework publications; DPDP Board enforcement actions; audit findings on model governance; explainability challenge rate</t>
  </si>
  <si>
    <t>Compliance and Legal</t>
  </si>
  <si>
    <t>THE MANAGEMENT QUESTIONS  ·  one per scenario, for the bottom of the slide</t>
  </si>
  <si>
    <t>Experience parity: can ClaimPulse convert higher digital evidence volume into TRUSTED straight-through processing rather than into higher exception volume?</t>
  </si>
  <si>
    <t>Controlled autonomy: can ClaimPulse find the economically optimal boundary between autonomous AI and human authority?</t>
  </si>
  <si>
    <t>Adversarial claims: can ClaimPulse maintain positive fraud economics when adversarial capability improves faster than expected?</t>
  </si>
  <si>
    <t>Commoditisation: can ClaimPulse hold a moat when the components it is built from become commodities?</t>
  </si>
  <si>
    <t>Autonomous claims market: can ClaimPulse own the orchestration layer rather than merely supply AI components as automation depth increases?</t>
  </si>
  <si>
    <t>Data-rich, trust-constrained: can ClaimPulse convert available evidence into USABLE evidence once consent, provenance and API fragmentation are accounted for?</t>
  </si>
  <si>
    <t>PART C  —  DRIVER INTERACTION  ·  the mechanism behind every scenario, stated causally</t>
  </si>
  <si>
    <t>THE PRINCIPLE. One trend can open BOTH a positive and a negative transmission channel at the same time. Digital adoption rising means more self-service claims, more digital evidence and fewer initial human interactions. It ALSO means greater evidence heterogeneity, greater synthetic-media exposure and greater demand for instant decisions. Any framework that models only the positive channel is structurally wrong.</t>
  </si>
  <si>
    <t>Interaction pair</t>
  </si>
  <si>
    <t>Net sign</t>
  </si>
  <si>
    <t>The mechanism</t>
  </si>
  <si>
    <t>Digital adoption x synthetic fraud</t>
  </si>
  <si>
    <t>Ambiguous</t>
  </si>
  <si>
    <t>Evidence volume rises, so attack surface rises, so synthetic-evidence opportunities rise. The same trend that enables straight-through processing enlarges the surface that must be defended. Automation eligibility is a function of evidence INTEGRITY, not evidence VOLUME</t>
  </si>
  <si>
    <t>AI capability x synthetic fraud</t>
  </si>
  <si>
    <t>Detection capability rises but so does generation capability. Neither absolute matters. The variable that matters is the adversarial gap: detection minus generation</t>
  </si>
  <si>
    <t>AI autonomy x customer trust</t>
  </si>
  <si>
    <t>Constrained</t>
  </si>
  <si>
    <t>Automation POTENTIAL rises but adverse-decision ACCEPTANCE falls. These move independently. The optimal automation frontier is set by the LOWER of technical capability and trust permission. Capability without permission produces no economic value</t>
  </si>
  <si>
    <t>Digital adoption x speed expectation</t>
  </si>
  <si>
    <t>Reinforcing</t>
  </si>
  <si>
    <t>Digital channel exposure rises, so the reference point shifts from insurance peers to app-native services, so the acceptable-friction frontier moves down. The benchmark is exogenous to insurance. Insurers do not set it</t>
  </si>
  <si>
    <t>Explainability mandate x AI autonomy</t>
  </si>
  <si>
    <t>Every autonomous adverse decision must carry a documented, defensible basis. Explainability is a per-decision COST that scales with volume and a per-decision CONSTRAINT on which decisions may be automated. It raises unit cost and lowers the automation ceiling simultaneously</t>
  </si>
  <si>
    <t>Inference cost falling x competitive automation rising</t>
  </si>
  <si>
    <t>Opposing</t>
  </si>
  <si>
    <t>AI cost falls, so cost per claim falls, so ROI rises. But competitor capability rises, so differentiation falls, so the moat erodes. Two curves moving in opposite directions. The strategic question is whether economic value increases faster than the technology moat erodes</t>
  </si>
  <si>
    <t>Claim complexity x Green-lane share</t>
  </si>
  <si>
    <t>Complexity rising means fewer claims eligible for autonomous routing regardless of technical capability. Lane boundaries are set by claim CHARACTERISTICS, not by model accuracy. A better model does not make a total-loss theft claim auto-settleable</t>
  </si>
  <si>
    <t>Evidence volume x human exception load</t>
  </si>
  <si>
    <t>Amplifying</t>
  </si>
  <si>
    <t>More evidence means more claims entering the funnel. If Green share falls even slightly, absolute exception volume rises sharply. Exception load equals volume times one minus Green share times touches. Both terms can move adversely at once</t>
  </si>
  <si>
    <t>Regulatory governance x architecture cost</t>
  </si>
  <si>
    <t>Audit trail, explainability artefact and model change log all become production requirements. Governance shifts from compliance overhead to production architecture. It is a build cost, not an operating overhead</t>
  </si>
  <si>
    <t>Surveyor displacement x ecosystem cooperation</t>
  </si>
  <si>
    <t>Automation rising means surveyor assignments fall, so professional-body resistance rises, so regulatory friction rises. The stakeholder whose income falls has an organised regulatory voice, and argues on policyholder-protection grounds rather than income grounds</t>
  </si>
  <si>
    <t>THE FIVE INTERACTIONS THAT DETERMINE THE INVESTMENT CASE</t>
  </si>
  <si>
    <t>Name</t>
  </si>
  <si>
    <t>Why it is the variable that matters</t>
  </si>
  <si>
    <t>The adversarial gap</t>
  </si>
  <si>
    <t>Not fraud capability in absolute terms, but the DIFFERENCE between detection and generation. This single variable determines whether fraud economics contribute or evaporate</t>
  </si>
  <si>
    <t>The automation frontier</t>
  </si>
  <si>
    <t>Not what AI can do, but what AI is PERMITTED to decide. Set by the lower of capability and trust or governance permission</t>
  </si>
  <si>
    <t>The evidence integrity function</t>
  </si>
  <si>
    <t>Not how much evidence arrives, but what proportion is trustworthy enough to auto-decide on. Digitalisation times evidence integrity gives automation eligibility</t>
  </si>
  <si>
    <t>The orchestration ownership question</t>
  </si>
  <si>
    <t>Not whether AI orchestrates claims, but WHO owns the orchestration layer. If Bajaj builds it internally, or a platform, OEM or TPA builds it first, the moat weakens regardless of component quality</t>
  </si>
  <si>
    <t>The evidence usability gap</t>
  </si>
  <si>
    <t>Not how much evidence technology makes available, but what proportion is legally and operationally USABLE once consent, provenance and API fragmentation are accounted for. Data available exceeds data usable, and the gap is the architecture problem</t>
  </si>
  <si>
    <t>TECHNOLOGY CONVERGENCE  ·  what becomes possible when two capabilities interact, which is closer to the real moat than any single-technology claim</t>
  </si>
  <si>
    <t>Convergence pair</t>
  </si>
  <si>
    <t>Computer vision x generative AI</t>
  </si>
  <si>
    <t>Damage detected, then automatically explained to the customer or adjuster in natural language, closing the explainability gap that CV alone cannot close</t>
  </si>
  <si>
    <t>Computer vision x telematics</t>
  </si>
  <si>
    <t>Visual damage cross-checked against the actual collision event, converting a single-source assessment into cross-validated evidence</t>
  </si>
  <si>
    <t>Fraud graph x synthetic-media detection</t>
  </si>
  <si>
    <t>A suspicious image is connected to claimant, vehicle, garage and device history rather than assessed in isolation</t>
  </si>
  <si>
    <t>RAG x claims orchestration</t>
  </si>
  <si>
    <t>Policy wording translated directly into a settlement decision rather than surfaced for a human to interpret</t>
  </si>
  <si>
    <t>Repair-cost AI x live garage data</t>
  </si>
  <si>
    <t>Damage estimate validated against real-time repair-cost data rather than a static estimation table</t>
  </si>
  <si>
    <t>DISPLACEMENT  ·  every development tested against four questions, because some technologies help us and commoditise us at the same time</t>
  </si>
  <si>
    <t>Technology development</t>
  </si>
  <si>
    <t>Enhances</t>
  </si>
  <si>
    <t>Commoditises</t>
  </si>
  <si>
    <t>Replaces</t>
  </si>
  <si>
    <t>Creates new risk</t>
  </si>
  <si>
    <t>Multimodal AI</t>
  </si>
  <si>
    <t>Yes</t>
  </si>
  <si>
    <t>-</t>
  </si>
  <si>
    <t>Telematics</t>
  </si>
  <si>
    <t>Synthetic media</t>
  </si>
  <si>
    <t>YES, the largest single risk</t>
  </si>
  <si>
    <t>Agentic claims processing</t>
  </si>
  <si>
    <t>AI repair estimation</t>
  </si>
  <si>
    <t>Digital identity and evidence provenance</t>
  </si>
  <si>
    <t>PART D  —  KPI TRANSMISSION CHAIN  ·  how an external event becomes a number</t>
  </si>
  <si>
    <t>Every scenario must flow through this chain. It is what stops a scenario being an adjective.</t>
  </si>
  <si>
    <t>Stage</t>
  </si>
  <si>
    <t>1. Industrial event</t>
  </si>
  <si>
    <t>An observed or reasonably foreseeable external development</t>
  </si>
  <si>
    <t>2. External shock</t>
  </si>
  <si>
    <t>The event translated into a specific pressure on ClaimPulse</t>
  </si>
  <si>
    <t>3. Component exposed</t>
  </si>
  <si>
    <t>Which AI engine, the Trust Score, live capture, routing or settlement layer absorbs it first</t>
  </si>
  <si>
    <t>4. Model KPI</t>
  </si>
  <si>
    <t>Accuracy, precision and recall of the exposed component</t>
  </si>
  <si>
    <t>5. Operating KPI</t>
  </si>
  <si>
    <t>STP, Green/Amber/Red mix, TAT, manual touches</t>
  </si>
  <si>
    <t>6. Unit economics</t>
  </si>
  <si>
    <t>Cost per claim, savings per claim, fraud benefit per claim</t>
  </si>
  <si>
    <t>7. P&amp;L impact</t>
  </si>
  <si>
    <t>Net monthly and annual benefit</t>
  </si>
  <si>
    <t>8. Return metrics</t>
  </si>
  <si>
    <t>NPV, IRR, ROIC, payback</t>
  </si>
  <si>
    <t>9. Customer impact</t>
  </si>
  <si>
    <t>NPS, friction, complaints, abandonment</t>
  </si>
  <si>
    <t>10. Compliance impact</t>
  </si>
  <si>
    <t>Auditability, explainability, regulatory eligibility</t>
  </si>
  <si>
    <t>11. Architecture change</t>
  </si>
  <si>
    <t>Recalibration, new module, new human-in-loop layer, or full repositioning</t>
  </si>
  <si>
    <t>12. Resilience score</t>
  </si>
  <si>
    <t>Per the formulas on Sheet 10 Part E</t>
  </si>
  <si>
    <t>WORKED EXAMPLE. A competitor reaches functional parity, so ClaimPulse differentiation falls, so rollout and adoption come under pressure, so claims processed fall, so monthly benefit falls, so NPV falls, so ROIC falls, so the strategic moat weakens, so a proprietary data and feedback loop becomes required. Grade: G2 adaptive moving to G3 architecturally stressed.</t>
  </si>
  <si>
    <t>PART E  —  KPI MEASUREMENT FRAMEWORK  ·  what gets measured, and which scenario each metric is sensitive to</t>
  </si>
  <si>
    <t>Structure only. Targets are deliberately not set here; they belong with the pilot. This is the measurement plan that makes the early-warning system in Part B executable.</t>
  </si>
  <si>
    <t>Layer</t>
  </si>
  <si>
    <t>What it captures</t>
  </si>
  <si>
    <t>Sensitive to</t>
  </si>
  <si>
    <t>1 Customer</t>
  </si>
  <si>
    <t>Net Promoter Score</t>
  </si>
  <si>
    <t>Willingness to recommend, measured post-claim-closure</t>
  </si>
  <si>
    <t>Experience parity, explainability</t>
  </si>
  <si>
    <t>Complaint rate</t>
  </si>
  <si>
    <t>Complaints per 1,000 claims, all channels including ombudsman and regulator escalation</t>
  </si>
  <si>
    <t>Claims-status contact rate</t>
  </si>
  <si>
    <t>Inbound calls or messages per claim asking what is happening. A direct signal of visibility gaps</t>
  </si>
  <si>
    <t>Customer effort score</t>
  </si>
  <si>
    <t>Self-reported ease of the claims journey end to end</t>
  </si>
  <si>
    <t>Digital FNOL share</t>
  </si>
  <si>
    <t>Share of first notice of loss submitted digitally rather than by call centre or branch</t>
  </si>
  <si>
    <t>Experience parity, ecosystem</t>
  </si>
  <si>
    <t>Decision appeal rate</t>
  </si>
  <si>
    <t>Share of automated decisions the customer formally disputes</t>
  </si>
  <si>
    <t>Explainability</t>
  </si>
  <si>
    <t>2 Operations</t>
  </si>
  <si>
    <t>TAT at P50, P90 and P95</t>
  </si>
  <si>
    <t>Reported as a distribution, not only an average, because tail claims drive dissatisfaction disproportionately</t>
  </si>
  <si>
    <t>Touches per claim</t>
  </si>
  <si>
    <t>Manual interventions required end to end</t>
  </si>
  <si>
    <t>Experience parity, adversarial</t>
  </si>
  <si>
    <t>Green / Amber / Red share</t>
  </si>
  <si>
    <t>Distribution of claims across automated, assisted and manual lanes</t>
  </si>
  <si>
    <t>Experience parity, adversarial, explainability</t>
  </si>
  <si>
    <t>First-pass evidence acceptance</t>
  </si>
  <si>
    <t>Share of submitted evidence usable without re-request. Sensitive to both capture quality and integrity screening</t>
  </si>
  <si>
    <t>Adversarial</t>
  </si>
  <si>
    <t>Reinspection or re-request rate</t>
  </si>
  <si>
    <t>Share of claims needing a second evidence request</t>
  </si>
  <si>
    <t>End-to-end TAT including repair</t>
  </si>
  <si>
    <t>Measured through to repair completion, not only internal settlement approval, to surface ecosystem bottlenecks</t>
  </si>
  <si>
    <t>Ecosystem</t>
  </si>
  <si>
    <t>3 Model</t>
  </si>
  <si>
    <t>Fraud detection rate</t>
  </si>
  <si>
    <t>Share of fraudulent claims correctly identified</t>
  </si>
  <si>
    <t>False positive rate</t>
  </si>
  <si>
    <t>Genuine claims incorrectly flagged. A direct customer-experience cost of tightening fraud controls</t>
  </si>
  <si>
    <t>Adversarial, explainability</t>
  </si>
  <si>
    <t>Synthetic media detection rate</t>
  </si>
  <si>
    <t>Distinguished from general fraud detection, because AI-fabricated evidence passes traditional checks at a materially higher rate than legacy forgeries</t>
  </si>
  <si>
    <t>CV damage assessment accuracy</t>
  </si>
  <si>
    <t>Detection, location and severity accuracy</t>
  </si>
  <si>
    <t>Adversarial, ecosystem</t>
  </si>
  <si>
    <t>Explainability coverage</t>
  </si>
  <si>
    <t>Share of automated decisions for which a full evidence to reason to policy-clause trail can be reconstructed on demand</t>
  </si>
  <si>
    <t>Explainability, governance</t>
  </si>
  <si>
    <t>Model drift and recalibration frequency</t>
  </si>
  <si>
    <t>How often model performance is re-validated against live outcomes</t>
  </si>
  <si>
    <t>4 Financial</t>
  </si>
  <si>
    <t>Processing cost per claim</t>
  </si>
  <si>
    <t>Populated from the live model on Sheet 3, not re-derived</t>
  </si>
  <si>
    <t>Experience parity, adversarial, ecosystem</t>
  </si>
  <si>
    <t>Fraud leakage as share of claims value</t>
  </si>
  <si>
    <t>Populated from the live model</t>
  </si>
  <si>
    <t>Grievance and ombudsman cost exposure</t>
  </si>
  <si>
    <t>Cost of grievance handling and regulatory escalation tied to claims experience specifically</t>
  </si>
  <si>
    <t>5 Capital</t>
  </si>
  <si>
    <t>Renewal rate</t>
  </si>
  <si>
    <t>Segmented by whether the policyholder filed a claim in the prior term</t>
  </si>
  <si>
    <t>Loss and combined ratio contribution</t>
  </si>
  <si>
    <t>Populated from filed financials and the live model</t>
  </si>
  <si>
    <t>6 Compliance</t>
  </si>
  <si>
    <t>Share of decisions with a complete audit trail</t>
  </si>
  <si>
    <t>Maps directly to the explainability and governance scenarios</t>
  </si>
  <si>
    <t>Share independently explainable to a regulator</t>
  </si>
  <si>
    <t>Distinguished from an audit trail existing internally versus being presentable externally on request</t>
  </si>
  <si>
    <t>Human override rate and override-agreement rate</t>
  </si>
  <si>
    <t>How often a human overrides automated routing, and how often that override is later judged correct</t>
  </si>
  <si>
    <t>DPDP consent-compliance rate</t>
  </si>
  <si>
    <t>Share of claims-data processing events with valid, current consent records</t>
  </si>
  <si>
    <t>Governance</t>
  </si>
  <si>
    <t>Cyber-incident rate on claims-data systems</t>
  </si>
  <si>
    <t>Given the sector's documented attack exposure</t>
  </si>
  <si>
    <t>7 Architecture</t>
  </si>
  <si>
    <t>Capture-to-integrity-check latency</t>
  </si>
  <si>
    <t>Time from evidence capture to integrity screening completion. Should be near-instant, because screening must happen at capture time rather than downstream</t>
  </si>
  <si>
    <t>Repair network API connectivity rate</t>
  </si>
  <si>
    <t>Share of the active repair-partner network that is API-connected rather than manual</t>
  </si>
  <si>
    <t>System availability and fallback rate</t>
  </si>
  <si>
    <t>Uptime and graceful-degradation behaviour of the orchestration layer</t>
  </si>
  <si>
    <t>Cost Architecture and Optimisation  ·  where every rupee goes, and what we did to reduce it</t>
  </si>
  <si>
    <t>HEADLINE.  The build is Rs 9.89 Cr one-off and Rs 3.68 Cr a year to run at the Base plan. Nine design decisions were taken specifically to hold that run cost down. Together they attack Rs 1.87 Cr of it. The remaining Rs 1.81 Cr is people, tooling, security and counsel, and no amount of engineering touches it. We state that ceiling here rather than let it be found.</t>
  </si>
  <si>
    <t>SECOND HEADLINE.  Cost optimisation is not what makes this case work. Even eliminating every rupee of compute moves payback from 3.07 months to 2.94. We present this section to prove the run-cost line is defensible and will not run away at scale, which is the objection that actually gets asked, not to claim value we have not earned.</t>
  </si>
  <si>
    <t>THIRD HEADLINE.  Inference cost cannot break this case at any plausible volume. Part D tests an eighteen-fold range of token consumption per claim and payback moves by 0.02 months. The breakeven is the point: a claim would need roughly 150,000 tokens, about ten minutes of video, before inference reached even one per cent of net annual benefit. A ClaimPulse claim carries forty seconds.</t>
  </si>
  <si>
    <t>EVIDENCE STANDARD.  Every external rate on this sheet is taken from the vendor's own published pricing page on 12 August 2026 and is recorded with its URL in Table M on Sheet 1. Every internal figure is a live line from Sheet 3. Token QUANTITIES are not measured and are shown as a bounded range with each component marked derived or assumed. No point estimate is presented as a result.</t>
  </si>
  <si>
    <t>PART A  —  THE COST STACK  ·  where the money actually goes</t>
  </si>
  <si>
    <t>Share</t>
  </si>
  <si>
    <t>Type</t>
  </si>
  <si>
    <t>1.878</t>
  </si>
  <si>
    <t>19.0%</t>
  </si>
  <si>
    <t>BUILD, one-off</t>
  </si>
  <si>
    <t>Live from Sheet 3 Part D</t>
  </si>
  <si>
    <t>1.002</t>
  </si>
  <si>
    <t>10.1%</t>
  </si>
  <si>
    <t>Production hardening, audit and explainability</t>
  </si>
  <si>
    <t>0.751</t>
  </si>
  <si>
    <t>7.6%</t>
  </si>
  <si>
    <t>0.626</t>
  </si>
  <si>
    <t>6.3%</t>
  </si>
  <si>
    <t>Training data, labelled damage and synthetic set</t>
  </si>
  <si>
    <t>0.600</t>
  </si>
  <si>
    <t>6.1%</t>
  </si>
  <si>
    <t>0.501</t>
  </si>
  <si>
    <t>5.1%</t>
  </si>
  <si>
    <t>0.438</t>
  </si>
  <si>
    <t>4.4%</t>
  </si>
  <si>
    <t>0.400</t>
  </si>
  <si>
    <t>4.0%</t>
  </si>
  <si>
    <t>Guided live-capture SDK</t>
  </si>
  <si>
    <t>0.376</t>
  </si>
  <si>
    <t>3.8%</t>
  </si>
  <si>
    <t>0.313</t>
  </si>
  <si>
    <t>3.2%</t>
  </si>
  <si>
    <t>0.250</t>
  </si>
  <si>
    <t>2.5%</t>
  </si>
  <si>
    <t>TOTAL BUILD</t>
  </si>
  <si>
    <t>9.890</t>
  </si>
  <si>
    <t>100%</t>
  </si>
  <si>
    <t>Ties to H-11</t>
  </si>
  <si>
    <t>Run cost line</t>
  </si>
  <si>
    <t>Rs Cr / yr</t>
  </si>
  <si>
    <t>Can optimisation touch it?</t>
  </si>
  <si>
    <t>1.687</t>
  </si>
  <si>
    <t>45.8%</t>
  </si>
  <si>
    <t>VARIABLE</t>
  </si>
  <si>
    <t>YES. Scales with claims and with GPU seconds per claim. The single largest target.</t>
  </si>
  <si>
    <t>0.801</t>
  </si>
  <si>
    <t>21.7%</t>
  </si>
  <si>
    <t>FIXED</t>
  </si>
  <si>
    <t>No. Contracted tooling, independent of volume.</t>
  </si>
  <si>
    <t>0.644</t>
  </si>
  <si>
    <t>17.5%</t>
  </si>
  <si>
    <t>No. Headcount.</t>
  </si>
  <si>
    <t>6.8%</t>
  </si>
  <si>
    <t>No.</t>
  </si>
  <si>
    <t>0.183</t>
  </si>
  <si>
    <t>5.0%</t>
  </si>
  <si>
    <t>Partly. Retention policy and replication factor.</t>
  </si>
  <si>
    <t>0.120</t>
  </si>
  <si>
    <t>3.3%</t>
  </si>
  <si>
    <t>TOTAL RUN COST</t>
  </si>
  <si>
    <t>3.684</t>
  </si>
  <si>
    <t>Ties to H-08</t>
  </si>
  <si>
    <t>THE CEILING.  Variable lines total Rs 1.870 Cr, which is 50.8 per cent of run cost. Fixed lines total Rs 1.815 Cr, which is 49.2 per cent. No optimisation programme, however good, can reduce annual run cost below Rs 1.815 Cr at this operating design.</t>
  </si>
  <si>
    <t>PART B  —  THE NINE COST DECISIONS  ·  what we did, and which line each one attacks</t>
  </si>
  <si>
    <t>#</t>
  </si>
  <si>
    <t>Decision</t>
  </si>
  <si>
    <t>Which cost line it attacks</t>
  </si>
  <si>
    <t>Mechanism</t>
  </si>
  <si>
    <t>1</t>
  </si>
  <si>
    <t>Directed intake form rather than free-text description</t>
  </si>
  <si>
    <t>W-26 GPU, and inference volume generally</t>
  </si>
  <si>
    <t>A structured form removes an entire extraction step. There is no prose to parse, so the parsing call does not happen at all. The form also yields fraud signal at zero marginal cost: completion time, field revision pattern, paste versus type.</t>
  </si>
  <si>
    <t>DESIGNED. Sets the LOW case in Part D.</t>
  </si>
  <si>
    <t>2</t>
  </si>
  <si>
    <t>Policy wordings parsed once, offline, into a clause table</t>
  </si>
  <si>
    <t>W-26, and any per-claim policy processing</t>
  </si>
  <si>
    <t>Policy wording is byte-identical across thousands of claims. Parsing each product once converts a per-claim cost into a one-time per-product cost. Claim time becomes a lookup, not an inference.</t>
  </si>
  <si>
    <t>DESIGNED. Worth 40,000 tokens per claim at the HIGH end of Part D.</t>
  </si>
  <si>
    <t>3</t>
  </si>
  <si>
    <t>OCR before any multimodal call</t>
  </si>
  <si>
    <t>W-26 GPU</t>
  </si>
  <si>
    <t>Reading text off a document with a vision model is the expensive way to obtain a few hundred characters. OCR is deterministic and cheap; only the extracted fields go downstream.</t>
  </si>
  <si>
    <t>DESIGNED.</t>
  </si>
  <si>
    <t>4</t>
  </si>
  <si>
    <t>Video de-duplication and damage-frame selection</t>
  </si>
  <si>
    <t>E-01, therefore W-26 directly</t>
  </si>
  <si>
    <t>Perceptual hashing drops near-identical frames; a cheap classifier keeps only frames showing damage. Video is 263 tokens per second (M-21) and is the dominant term in every case in Part D.</t>
  </si>
  <si>
    <t>DESIGNED. Reduction ratio NOT MEASURED. Highest-value lever on the sheet.</t>
  </si>
  <si>
    <t>5</t>
  </si>
  <si>
    <t>Fraud scoring queued in 10-minute clusters</t>
  </si>
  <si>
    <t>W-26 twice over, and detection quality</t>
  </si>
  <si>
    <t>Two effects. Batch processing is 50 per cent cheaper at every vendor (M-19). Separately, and more importantly, a fraud RING cannot be seen by scoring claims one at a time, so batching improves detection rather than merely cheapening it.</t>
  </si>
  <si>
    <t>DESIGNED. Green lane stays synchronous so auto-settle is not delayed.</t>
  </si>
  <si>
    <t>6</t>
  </si>
  <si>
    <t>Peak flattening through queueing</t>
  </si>
  <si>
    <t>E-02 peak-to-average multiplier</t>
  </si>
  <si>
    <t>W-26 is sized for peak at 2.5x average with a further 1.2x safety margin, so provisioning is three times average load. Queueing non-urgent work flattens that peak, and the multiplier applies directly to the largest variable line.</t>
  </si>
  <si>
    <t>DESIGNED. Achievable multiplier NOT MEASURED.</t>
  </si>
  <si>
    <t>7</t>
  </si>
  <si>
    <t>Context caching of the system prompt and shared context</t>
  </si>
  <si>
    <t>Inference cost on any API path</t>
  </si>
  <si>
    <t>Roughly 90 per cent off re-used input at all three vendors (M-20). The system prompt and product policy context are identical on every single claim.</t>
  </si>
  <si>
    <t>AVAILABLE. API path only.</t>
  </si>
  <si>
    <t>8</t>
  </si>
  <si>
    <t>Model routing, economy tier for triage</t>
  </si>
  <si>
    <t>Verified blended economy input is 0.50 USD per 1M against 1.83 for mid-tier (M-14, M-17). Triage and classification do not need the expensive tier. Part D prices both.</t>
  </si>
  <si>
    <t>9</t>
  </si>
  <si>
    <t>Deterministic-first on the green lane</t>
  </si>
  <si>
    <t>The cheapest inference is the one never run. 65 per cent of claims are designed to clear on rules and integrity checks without a model call at all.</t>
  </si>
  <si>
    <t>DESIGNED, and already in the lane mix.</t>
  </si>
  <si>
    <t>PART C  —  COMPUTE COST, TWO DELIVERY MODELS  ·  NOT a like-for-like comparison, see Sheet 13 for the build-versus-buy answer</t>
  </si>
  <si>
    <t>Rs per claim</t>
  </si>
  <si>
    <t>Rs Cr per year</t>
  </si>
  <si>
    <t>Source of the rate</t>
  </si>
  <si>
    <t>Source of the quantity</t>
  </si>
  <si>
    <t>In-house GPU, as modelled</t>
  </si>
  <si>
    <t>114.36</t>
  </si>
  <si>
    <t>E-04 at 3.00 USD/hr. Market range 0.93 to 3.67 verified, M-25.</t>
  </si>
  <si>
    <t>E-01 at 0.1333 hr/claim. TIER 4, NOT MEASURED, see W-09.</t>
  </si>
  <si>
    <t>API, blended mid-tier, LOW token case</t>
  </si>
  <si>
    <t>1.16</t>
  </si>
  <si>
    <t>0.017</t>
  </si>
  <si>
    <t>M-14 to M-16, vendor-verified.</t>
  </si>
  <si>
    <t>Part D token range. Components marked derived or assumed.</t>
  </si>
  <si>
    <t>API, blended mid-tier, CENTRAL token case</t>
  </si>
  <si>
    <t>5.56</t>
  </si>
  <si>
    <t>0.082</t>
  </si>
  <si>
    <t>M-14 to M-16.</t>
  </si>
  <si>
    <t>Part D.</t>
  </si>
  <si>
    <t>API, blended mid-tier, HIGH token case</t>
  </si>
  <si>
    <t>19.41</t>
  </si>
  <si>
    <t>0.286</t>
  </si>
  <si>
    <t>API, economy tier with batching, CENTRAL</t>
  </si>
  <si>
    <t>0.76</t>
  </si>
  <si>
    <t>0.011</t>
  </si>
  <si>
    <t>M-17, M-18 with M-19 applied.</t>
  </si>
  <si>
    <t>NOT A LIKE-FOR-LIKE COMPARISON, AND IT SHOULD NOT BE READ AS ONE.  The in-house row prices the VISION workload, because E-01 derives from video and CV processing. The API rows price the LANGUAGE workload. They are different jobs and the two columns must not be divided into one another. The genuine build-versus-buy question, with baseline compute netted out and both deflation curves live, is on SHEET 13. This part is retained only to show the cost stack, not to decide the architecture.</t>
  </si>
  <si>
    <t>WHY WE WOULD SELF-HOST ANYWAY, IN PART.  Three reasons that survive the cost comparison.</t>
  </si>
  <si>
    <t>DPDP and data residency</t>
  </si>
  <si>
    <t>Claim media carries faces, number plates and location. Both OpenAI and Anthropic charge a 10 per cent premium for region-pinned inference (M-24), and cross-border processing of claimant personal data is a live compliance question, not a settled one.</t>
  </si>
  <si>
    <t>The moat cannot be rented</t>
  </si>
  <si>
    <t>D-04 synthetic and tampered image screening, plus D-13 training data, is a classifier trained on our own media. A general-purpose API does not do diffusion and GAN artefact detection tuned to Indian motor claims. Outsourcing this would be outsourcing the differentiator.</t>
  </si>
  <si>
    <t>Vendor and price risk</t>
  </si>
  <si>
    <t>A-12 already assumes 30 per cent annual inference price deflation. Deflation is a tailwind for buying, but it is a vendor-controlled price, and a single supplier setting the marginal cost of the core product is a strategic exposure.</t>
  </si>
  <si>
    <t>THE HONEST CONCLUSION.  The defensible architecture is split, not either-or. Self-host the Capture Integrity Gate and the fraud graph, because that is the moat and the DPDP-sensitive media. Buy the document, policy and explanation work, because it is commodity language processing on text already de-identified by OCR. Sheet 8 Part E carries this as a scenario.</t>
  </si>
  <si>
    <t>PART D  —  INFERENCE COST RANGE AND BREAKEVEN  ·  tested across an 18x span, because we cannot measure it yet</t>
  </si>
  <si>
    <t>We do not know how many tokens a ClaimPulse claim consumes. Rather than publish a point estimate we cannot defend, we bound it and test whether the answer matters. It does not, and that insensitivity is the finding.</t>
  </si>
  <si>
    <t>LOW</t>
  </si>
  <si>
    <t>CENTRAL</t>
  </si>
  <si>
    <t>HIGH</t>
  </si>
  <si>
    <t>Video seconds analysed</t>
  </si>
  <si>
    <t>10</t>
  </si>
  <si>
    <t>40</t>
  </si>
  <si>
    <t>120</t>
  </si>
  <si>
    <t>DERIVED. 40 seconds is E-01's own stated derivation. Video is 263 tokens/second, M-21, vendor-published.</t>
  </si>
  <si>
    <t>Photo tiles</t>
  </si>
  <si>
    <t>20</t>
  </si>
  <si>
    <t>Rate DERIVED at 258 tokens per 768x768 tile, M-22. Count per claim ASSUMED.</t>
  </si>
  <si>
    <t>Policy wording tokens</t>
  </si>
  <si>
    <t>0</t>
  </si>
  <si>
    <t>8,000</t>
  </si>
  <si>
    <t>40,000</t>
  </si>
  <si>
    <t>ASSUMED. Zero if parsed offline per decision 2; 40,000 if a full wording is sent raw on every claim.</t>
  </si>
  <si>
    <t>Claim text and document tokens</t>
  </si>
  <si>
    <t>300</t>
  </si>
  <si>
    <t>1,500</t>
  </si>
  <si>
    <t>4,000</t>
  </si>
  <si>
    <t>ASSUMED. 300 is a structured intake form per decision 1; 4,000 is free-text plus attachments.</t>
  </si>
  <si>
    <t>System prompt tokens</t>
  </si>
  <si>
    <t>1,000</t>
  </si>
  <si>
    <t>3,000</t>
  </si>
  <si>
    <t>ASSUMED. Cacheable at roughly 90 per cent off, M-20.</t>
  </si>
  <si>
    <t>Output tokens</t>
  </si>
  <si>
    <t>1,200</t>
  </si>
  <si>
    <t>ASSUMED. 300 is a structured JSON decision; 4,000 is a full prose explanation.</t>
  </si>
  <si>
    <t>TOTAL INPUT TOKENS</t>
  </si>
  <si>
    <t>4,962</t>
  </si>
  <si>
    <t>25,084</t>
  </si>
  <si>
    <t>88,720</t>
  </si>
  <si>
    <t>Sum of the above.</t>
  </si>
  <si>
    <t>Mid-tier Rs/claim</t>
  </si>
  <si>
    <t>Mid-tier Rs Cr/yr</t>
  </si>
  <si>
    <t>Economy+batch Rs/claim</t>
  </si>
  <si>
    <t>Economy+batch Rs Cr/yr</t>
  </si>
  <si>
    <t>Payback, mid-tier</t>
  </si>
  <si>
    <t>0.16</t>
  </si>
  <si>
    <t>0.002</t>
  </si>
  <si>
    <t>3.074 months</t>
  </si>
  <si>
    <t>3.079 months</t>
  </si>
  <si>
    <t>2.67</t>
  </si>
  <si>
    <t>0.039</t>
  </si>
  <si>
    <t>3.096 months</t>
  </si>
  <si>
    <t>Base case, no API cost at all</t>
  </si>
  <si>
    <t>THE INSENSITIVITY.  Input token volume varies eighteen-fold between the LOW and HIGH cases. Payback moves from 3.074 to 3.096 months, a spread of 0.02 months. An order-of-magnitude move in the token estimate does not change the investment decision.</t>
  </si>
  <si>
    <t>BREAKEVEN  ·  how large would inference have to become before it mattered?</t>
  </si>
  <si>
    <t>Threshold</t>
  </si>
  <si>
    <t>Tokens per claim required</t>
  </si>
  <si>
    <t>Equivalent video per claim</t>
  </si>
  <si>
    <t>1 per cent of net annual benefit</t>
  </si>
  <si>
    <t>26.19</t>
  </si>
  <si>
    <t>150,156</t>
  </si>
  <si>
    <t>about 10 minutes</t>
  </si>
  <si>
    <t>5 per cent</t>
  </si>
  <si>
    <t>130.94</t>
  </si>
  <si>
    <t>750,778</t>
  </si>
  <si>
    <t>about 48 minutes</t>
  </si>
  <si>
    <t>10 per cent</t>
  </si>
  <si>
    <t>261.87</t>
  </si>
  <si>
    <t>1,501,557</t>
  </si>
  <si>
    <t>about 95 minutes</t>
  </si>
  <si>
    <t>50 per cent</t>
  </si>
  <si>
    <t>1,309.35</t>
  </si>
  <si>
    <t>7,507,785</t>
  </si>
  <si>
    <t>about 8 hours</t>
  </si>
  <si>
    <t>READ THIS TO THE PANEL.  A ClaimPulse claim carries forty seconds of video. Inference consumption would have to rise roughly fifteen-fold, to about ten minutes of video per claim, before it consumed one per cent of net annual benefit, and about ninety-five minutes before it consumed ten per cent. This is the complete answer to the question of whether AI running costs threaten the case. They do not, and the answer does not depend on our token estimate being right.</t>
  </si>
  <si>
    <t>Method: tokens required = threshold rupees per claim, divided by the FX rate of 95.3, divided by the blended mid-tier input rate of 1.83 USD per million tokens (M-14). Claim volume of 147,492 per year is H-02 Base times twelve. Net annual benefit of Rs 38.62 Cr is H-09.</t>
  </si>
  <si>
    <t>PART E  —  WHAT OPTIMISATION IS WORTH  ·  run cost and payback sensitivity</t>
  </si>
  <si>
    <t>Run cost Rs Cr</t>
  </si>
  <si>
    <t>Net annual Rs Cr</t>
  </si>
  <si>
    <t>Payback months</t>
  </si>
  <si>
    <t>As modelled today</t>
  </si>
  <si>
    <t>38.62</t>
  </si>
  <si>
    <t>3.07</t>
  </si>
  <si>
    <t>Live from Sheet 3. H-08, H-09, H-12.</t>
  </si>
  <si>
    <t>GPU line reduced 80 per cent</t>
  </si>
  <si>
    <t>2.335</t>
  </si>
  <si>
    <t>39.97</t>
  </si>
  <si>
    <t>2.97</t>
  </si>
  <si>
    <t>Arithmetic on W-26. The 80 per cent is ILLUSTRATIVE, not measured.</t>
  </si>
  <si>
    <t>GPU line removed entirely</t>
  </si>
  <si>
    <t>1.997</t>
  </si>
  <si>
    <t>40.31</t>
  </si>
  <si>
    <t>2.94</t>
  </si>
  <si>
    <t>Upper bound. Not achievable, shown only to bound the prize.</t>
  </si>
  <si>
    <t>Fixed floor</t>
  </si>
  <si>
    <t>1.815</t>
  </si>
  <si>
    <t>W-28 plus W-29 plus W-30 plus W-31. Cannot go below this.</t>
  </si>
  <si>
    <t>READ THIS BEFORE QUOTING PART E.  The middle two rows contain an illustrative reduction, not a measured one. They exist to size the prize, and the answer is that the prize is 0.13 months of payback. That is why cost optimisation is presented here as a credibility exercise and not as a value driver. Anyone who quotes these rows as achieved savings is misrepresenting the model.</t>
  </si>
  <si>
    <t>PART F  —  THE UNPRICED ASSET  ·  Bajaj's historical claim media</t>
  </si>
  <si>
    <t>The model values this asset at zero. D-13 carries Rs 0.60 Cr to acquire or build a labelled damage and synthetic training set, as though ClaimPulse were starting from nothing. Bajaj General has been settling motor claims with photographic evidence for two decades.</t>
  </si>
  <si>
    <t>Motor OD claims per year on the full addressable book</t>
  </si>
  <si>
    <t>245,820</t>
  </si>
  <si>
    <t>Derived. H-02 at 100 per cent rollout is 20,485 claims per month, times 12. Our own model output, not an external estimate.</t>
  </si>
  <si>
    <t>48.3 million</t>
  </si>
  <si>
    <t>TIER 1 FILED. K-08, Bajaj Finserv Q1 FY27 disclosure.</t>
  </si>
  <si>
    <t>Retained claim images and video, historical</t>
  </si>
  <si>
    <t>Bajaj claims operations only. Neither the volume nor the retention period is known to us.</t>
  </si>
  <si>
    <t>Images per claim</t>
  </si>
  <si>
    <t>Depends on capture policy over time. Cannot be estimated responsibly.</t>
  </si>
  <si>
    <t>WHY IT MATTERS, IF IT EXISTS.</t>
  </si>
  <si>
    <t>D-13 falls</t>
  </si>
  <si>
    <t>Rs 0.60 Cr of the build is buying training data. An existing labelled corpus reduces or removes that line.</t>
  </si>
  <si>
    <t>The fraud graph starts warm</t>
  </si>
  <si>
    <t>A graph engine built on years of settled claims, garages, workshops and claimants can detect rings from day one. Built on new data it cannot detect anything until enough history accumulates.</t>
  </si>
  <si>
    <t>It is the commoditisation answer</t>
  </si>
  <si>
    <t>Sheet 9 Theme 5 concludes that when component AI commoditises, the moat has to move to data and ecosystem. This archive IS that moat, and no competitor can buy it.</t>
  </si>
  <si>
    <t>THE CONSTRAINT, STATED HONESTLY.  DPDP purpose limitation is a real obstacle. Media collected to settle a claim was not necessarily collected with consent to train models on it. The DPDP Rules 2025 compliance date of 13 May 2027 falls inside this investment horizon, and both the retention basis and the training basis need a legal opinion before any value is claimed. This is why Part F carries no rupee figure.</t>
  </si>
  <si>
    <t>PART G  —  WHAT MUST BE MEASURED BEFORE ANY OF THIS IS QUOTED</t>
  </si>
  <si>
    <t>Measurement</t>
  </si>
  <si>
    <t>Why it blocks a number</t>
  </si>
  <si>
    <t>Who provides it</t>
  </si>
  <si>
    <t>GPU seconds per claim, by lane</t>
  </si>
  <si>
    <t>E-01 is TIER 4 and drives 46 per cent of run cost. Everything in Part E moves with it.</t>
  </si>
  <si>
    <t>Pilot instrumentation</t>
  </si>
  <si>
    <t>Tokens per claim, by pipeline stage</t>
  </si>
  <si>
    <t>Rate cards are verified; volumes are not. Part D collapses to a single column once this exists.</t>
  </si>
  <si>
    <t>countTokens over a pilot sample</t>
  </si>
  <si>
    <t>Video seconds actually needed for damage assessment</t>
  </si>
  <si>
    <t>Sets the achievable reduction in decision 4, and the dominant term in Part D.</t>
  </si>
  <si>
    <t>Pilot, against surveyor-assessed ground truth</t>
  </si>
  <si>
    <t>Achievable peak-to-average ratio under queueing</t>
  </si>
  <si>
    <t>E-02 is a 2.5x multiplier on the largest variable line.</t>
  </si>
  <si>
    <t>Load pattern from live claim arrival data</t>
  </si>
  <si>
    <t>Retained claim media volume and retention period</t>
  </si>
  <si>
    <t>Part F cannot be sized. D-13 may be overstated.</t>
  </si>
  <si>
    <t>Bajaj claims operations</t>
  </si>
  <si>
    <t>Legal basis for training on historical claim media</t>
  </si>
  <si>
    <t>Determines whether Part F is an asset or a prohibited use.</t>
  </si>
  <si>
    <t>External counsel, DPDP scope</t>
  </si>
  <si>
    <t>GenAI Build versus Buy  ·  incremental five-year cost of adding generative AI, baseline netted out</t>
  </si>
  <si>
    <t>THE QUESTION THIS SHEET ANSWERS.  Bajaj needs computing infrastructure to run conventional fraud models whatever we decide, so that baseline must not be charged to the GenAI decision. The only fair comparison is the INCREMENTAL five-year cost of adding generative AI through a third-party API versus self-hosting an open-weight model on our own GPUs. This sheet makes that comparison and nothing else.</t>
  </si>
  <si>
    <t>SCOPE. Sheet 12 Part C compares the whole in-house GPU line against API token cost. This sheet narrows the comparison to the share of that workload where a genuine API alternative exists, and nets out the baseline and moat layers that must be self-hosted either way.</t>
  </si>
  <si>
    <t>THE ANSWER, IN ONE LINE.  On the current assumptions, buying wins on five-year NPV, and volume does not change that, because both options scale linearly with claims. The decision turns entirely on how many GPU-seconds the workload needs, not on how many claims we process.</t>
  </si>
  <si>
    <t>PART A  —  WHAT IS EXCLUDED, AND WHY</t>
  </si>
  <si>
    <t>Excluded</t>
  </si>
  <si>
    <t>Why it is not in this comparison</t>
  </si>
  <si>
    <t>Baseline conventional ML compute</t>
  </si>
  <si>
    <t>Bajaj runs rule-based fraud detection today at 62% precision (B-13). That capacity is required with or without GenAI, so charging it to the GenAI decision would overstate both options. Netted out at O-01.</t>
  </si>
  <si>
    <t>The Capture Integrity Gate classifier</t>
  </si>
  <si>
    <t>D-04 synthetic and tampered media screening is trained on our own claim media. No API sells it, so there is no buy option and it is not a build-versus-buy question. Netted out at O-02.</t>
  </si>
  <si>
    <t>Storage, MLOps tooling, ops team, security, counsel</t>
  </si>
  <si>
    <t>W-27 to W-31. Incurred under either architecture. An API path still needs monitoring, an ops team and counsel. Excluding them from both sides leaves the comparison unchanged.</t>
  </si>
  <si>
    <t>One-off build lines D-01 to D-15</t>
  </si>
  <si>
    <t>Sunk against the platform decision, not the GenAI delivery decision. Choosing API over self-hosting does not remove the need to build the pipeline that calls it.</t>
  </si>
  <si>
    <t>PART B  —  SCOPE OF THE DECISION</t>
  </si>
  <si>
    <t>Share of GPU hours</t>
  </si>
  <si>
    <t>Baseline conventional ML, needed regardless</t>
  </si>
  <si>
    <t>Excluded. TIER 4 team estimate.</t>
  </si>
  <si>
    <t>Moat, self-hosted regardless</t>
  </si>
  <si>
    <t>Excluded. No buy option exists.</t>
  </si>
  <si>
    <t>IN SCOPE: GenAI-substitutable workload</t>
  </si>
  <si>
    <t>Document extraction, policy reasoning, explanation drafting.</t>
  </si>
  <si>
    <t>PART C  —  BUY  ·  five-year API cost, with published price deflation applied</t>
  </si>
  <si>
    <t>5-yr total</t>
  </si>
  <si>
    <t>NPV at WACC</t>
  </si>
  <si>
    <t>API cost per claim, Rs</t>
  </si>
  <si>
    <t>Annual API cost, Rs Cr</t>
  </si>
  <si>
    <t>Rates are M-14 and M-15, the blended mid-tier average across Google, OpenAI and Anthropic, each verified from the vendor's own pricing page. The 10 per cent data-residency premium (M-24) is applied. Batch and caching discounts are NOT applied by default (O-06 = 0), which is deliberately unfavourable to buying. Price deflation of 30 per cent a year is A-12, previously an unused assumption and now live.</t>
  </si>
  <si>
    <t>PART D  —  BUILD  ·  five-year self-hosting cost for the same workload</t>
  </si>
  <si>
    <t>Provisioned GPU hours per claim, in-scope workload</t>
  </si>
  <si>
    <t>E-01 x O-03, then peak (E-02) and safety margin (E-03)</t>
  </si>
  <si>
    <t>GPU cost per claim, Rs</t>
  </si>
  <si>
    <t>Annual GPU cost, Rs Cr</t>
  </si>
  <si>
    <t>GPU rate is E-04 at 3.00 USD per hour, inside the verified market range of 0.93 to 3.67 (M-25). Because this is a RENTAL rate, power, data-centre and hardware refresh sit inside it. If Bajaj buys hardware instead, those move into capex and this line understates the build cost. GPU price deflation of 10 per cent a year is A-13, previously unused and now live. Note the asymmetry: self-hosting pays for peak provisioning of 3x average (E-02 x E-03) whether or not it is used, while the API bills only what is consumed.</t>
  </si>
  <si>
    <t>PART E  —  THE VERDICT</t>
  </si>
  <si>
    <t>Five-year NPV, BUY</t>
  </si>
  <si>
    <t>Total incremental cost of the API route.</t>
  </si>
  <si>
    <t>Five-year NPV, BUILD</t>
  </si>
  <si>
    <t>Compute only. Excludes incremental serving, engineering and upgrade cost, so it is a floor.</t>
  </si>
  <si>
    <t>NPV advantage to BUYING</t>
  </si>
  <si>
    <t>Positive means buying is cheaper.</t>
  </si>
  <si>
    <t>Incremental opex self-hosting could absorb and still win</t>
  </si>
  <si>
    <t>Negative means self-hosting already loses on compute alone, before a single engineer is hired.</t>
  </si>
  <si>
    <t>Provisioned GPU-seconds per claim implied by E-01</t>
  </si>
  <si>
    <t>What the model currently assumes for this workload.</t>
  </si>
  <si>
    <t>Provisioned GPU-seconds per claim at BREAKEVEN</t>
  </si>
  <si>
    <t>Below this, self-hosting is cheaper than the API.</t>
  </si>
  <si>
    <t>Gap, times over breakeven</t>
  </si>
  <si>
    <t>How far the current assumption sits from the point where building pays.</t>
  </si>
  <si>
    <t>WHY VOLUME DOES NOT DECIDE THIS.  Both options scale linearly with claims, so there is no crossover volume. Doubling claim count doubles both sides and leaves the ranking unchanged. The decision is set by GPU-seconds per claim, which is E-01, and E-01 is TIER 4 and unmeasured (W-09). That single measurement settles this question.</t>
  </si>
  <si>
    <t>WHAT WOULD FLIP THE ANSWER.  Self-hosting wins if the in-scope workload can be served in fewer provisioned GPU-seconds per claim than T-12, or if API list prices stop deflating while GPU prices keep falling, or if data-residency rules make cross-border inference impossible rather than merely 10 per cent dearer. The first is an engineering question the pilot answers. The second we do not control. The third is tracked at T-15 and T-21 on Sheet 7.</t>
  </si>
  <si>
    <t>PART F  —  WHAT THIS SHEET DOES NOT COST</t>
  </si>
  <si>
    <t>Excluded from the comparison</t>
  </si>
  <si>
    <t>Effect on the answer</t>
  </si>
  <si>
    <t>API-side integration, vendor management and contract governance</t>
  </si>
  <si>
    <t>Understates BUY. Real, but one-off and small against a Rs 38.62 Cr annual benefit.</t>
  </si>
  <si>
    <t>Build-side serving infrastructure, model upgrades, monitoring and engineering headcount</t>
  </si>
  <si>
    <t>Understates BUILD, and by far more. T-08 is a floor, which is why T-10 is already negative.</t>
  </si>
  <si>
    <t>GPU hardware refresh and power if hardware is owned rather than rented</t>
  </si>
  <si>
    <t>Understates BUILD. The rental rate at E-04 bundles these; an owned-hardware model would not.</t>
  </si>
  <si>
    <t>Any quality difference between an open-weight model and a frontier API</t>
  </si>
  <si>
    <t>Not costed either way. If open weights underperform on policy reasoning, the benefit side moves, not the cost side.</t>
  </si>
  <si>
    <t>Latency and availability differences</t>
  </si>
  <si>
    <t>Not costed. Relevant to the green lane's auto-settle promise if an API is slow or unavailable.</t>
  </si>
  <si>
    <t>Exit and switching cost under either option</t>
  </si>
  <si>
    <t>Not costed. Self-hosting has lower vendor lock-in, a real but unquantified argument for building.</t>
  </si>
  <si>
    <t>HONEST SUMMARY.  Every omission above understates the cost of BUILDING more than it understates the cost of BUYING. Correcting them would widen the gap in favour of buying, not close it. The conclusion is therefore robust to its own omissions, which is the only reason it is safe to state as firmly as Part E does.</t>
  </si>
  <si>
    <t>PART G  —  PRICE CURRENCY TEST  ·  the buy case on the rate card that applies from 1 September 2026</t>
  </si>
  <si>
    <t>API cost per claim on the 1 Sep 2026 rate card, Rs</t>
  </si>
  <si>
    <t>M-26 and M-27 in place of M-14 and M-15.</t>
  </si>
  <si>
    <t>Annual buy cost on that rate card, Rs Cr</t>
  </si>
  <si>
    <t>Year 1 volume, so it is directly comparable with T-03.</t>
  </si>
  <si>
    <t>Increase against the current rate card</t>
  </si>
  <si>
    <t>The effect of the Anthropic introductory period ending on 31 August 2026.</t>
  </si>
  <si>
    <t>Buy still cheaper than build, Year 1</t>
  </si>
  <si>
    <t>Tested against T-06 on the same volume.</t>
  </si>
  <si>
    <t>Build cost as a multiple of buy, on the new rate card</t>
  </si>
  <si>
    <t>The verdict at Part E is unchanged by the rate change.</t>
  </si>
  <si>
    <t>Every published rate in Table M carries a dated retrieval. Table Q holds the rates that change inside the forecast window, and this block runs the decision on them. The conclusion holds on both rate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</si>
</sst>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quot; days&quot;"/>
    <numFmt numFmtId="168" formatCode="0.0&quot; FTE&quot;"/>
    <numFmt numFmtId="169" formatCode="0.00&quot; pp&quot;"/>
    <numFmt numFmtId="170" formatCode="\₹0.00&quot; Cr&quot;"/>
    <numFmt numFmtId="171" formatCode="#,##0&quot; visits&quot;"/>
    <numFmt numFmtId="172" formatCode="0&quot; days&quot;"/>
    <numFmt numFmtId="173" formatCode="#,##0.0"/>
    <numFmt numFmtId="174" formatCode="0.0000"/>
  </numFmts>
  <fonts count="33" x14ac:knownFonts="1">
    <font>
      <sz val="11"/>
      <color theme="1"/>
      <name val="Calibri"/>
      <family val="2"/>
      <charset val="1"/>
    </font>
    <font>
      <sz val="11"/>
      <color theme="1"/>
      <name val="Calibri"/>
      <family val="2"/>
      <charset val="1"/>
    </font>
    <font>
      <sz val="11"/>
      <color theme="1"/>
      <name val="Cambria"/>
      <family val="1"/>
    </font>
    <font>
      <b/>
      <sz val="9"/>
      <color rgb="FF5B6B7C"/>
      <name val="Cambria"/>
      <family val="1"/>
    </font>
    <font>
      <i/>
      <sz val="9"/>
      <color rgb="FF5B6B7C"/>
      <name val="Cambria"/>
      <family val="1"/>
    </font>
    <font>
      <sz val="11"/>
      <color theme="0"/>
      <name val="Cambria"/>
      <family val="1"/>
    </font>
    <font>
      <sz val="36"/>
      <color theme="1"/>
      <name val="Cambria"/>
      <family val="1"/>
    </font>
    <font>
      <b/>
      <sz val="18"/>
      <color theme="0"/>
      <name val="Cambria"/>
      <family val="1"/>
    </font>
    <font>
      <sz val="12"/>
      <color theme="0"/>
      <name val="Cambria"/>
      <family val="1"/>
    </font>
    <font>
      <b/>
      <sz val="11"/>
      <color theme="1"/>
      <name val="Cambria"/>
      <family val="1"/>
    </font>
    <font>
      <sz val="18"/>
      <color theme="1"/>
      <name val="Cambria"/>
      <family val="1"/>
    </font>
    <font>
      <b/>
      <sz val="13.5"/>
      <color theme="0"/>
      <name val="Cambria"/>
      <family val="1"/>
    </font>
    <font>
      <b/>
      <sz val="11"/>
      <color theme="0"/>
      <name val="Cambria"/>
      <family val="1"/>
    </font>
    <font>
      <sz val="11"/>
      <name val="Cambria"/>
      <family val="1"/>
    </font>
    <font>
      <b/>
      <sz val="22"/>
      <color theme="3"/>
      <name val="Cambria"/>
      <family val="1"/>
    </font>
    <font>
      <b/>
      <sz val="11"/>
      <color theme="3"/>
      <name val="Cambria"/>
      <family val="1"/>
    </font>
    <font>
      <b/>
      <i/>
      <sz val="11"/>
      <color theme="7"/>
      <name val="Cambria"/>
      <family val="1"/>
    </font>
    <font>
      <b/>
      <sz val="11"/>
      <name val="Cambria"/>
      <family val="1"/>
    </font>
    <font>
      <i/>
      <sz val="11"/>
      <color theme="1"/>
      <name val="Cambria"/>
      <family val="1"/>
    </font>
    <font>
      <b/>
      <sz val="12"/>
      <color rgb="FFFFFFFF"/>
      <name val="Cambria"/>
      <family val="1"/>
    </font>
    <font>
      <i/>
      <sz val="9"/>
      <color rgb="FF595959"/>
      <name val="Cambria"/>
      <family val="1"/>
    </font>
    <font>
      <b/>
      <sz val="9"/>
      <color rgb="FFFFFFFF"/>
      <name val="Cambria"/>
      <family val="1"/>
    </font>
    <font>
      <b/>
      <sz val="9"/>
      <name val="Cambria"/>
      <family val="1"/>
    </font>
    <font>
      <sz val="9"/>
      <color rgb="FF0000FF"/>
      <name val="Cambria"/>
      <family val="1"/>
    </font>
    <font>
      <sz val="9"/>
      <name val="Cambria"/>
      <family val="1"/>
    </font>
    <font>
      <b/>
      <sz val="9"/>
      <color theme="1"/>
      <name val="Cambria"/>
      <family val="1"/>
    </font>
    <font>
      <i/>
      <sz val="9"/>
      <color rgb="FFC00000"/>
      <name val="Cambria"/>
      <family val="1"/>
    </font>
    <font>
      <sz val="9"/>
      <color rgb="FF1B2A3A"/>
      <name val="Cambria"/>
      <family val="1"/>
    </font>
    <font>
      <b/>
      <sz val="9"/>
      <color rgb="FF1B2A3A"/>
      <name val="Cambria"/>
      <family val="1"/>
    </font>
    <font>
      <sz val="9"/>
      <color theme="1"/>
      <name val="Cambria"/>
      <family val="1"/>
    </font>
    <font>
      <sz val="9"/>
      <color rgb="FF5B6B7C"/>
      <name val="Cambria"/>
      <family val="1"/>
    </font>
    <font>
      <b/>
      <sz val="9"/>
      <color rgb="FF0B5C4B"/>
      <name val="Cambria"/>
      <family val="1"/>
    </font>
    <font>
      <b/>
      <sz val="12"/>
      <color rgb="FF1B2A3A"/>
      <name val="Cambria"/>
      <family val="1"/>
    </font>
  </fonts>
  <fills count="11">
    <fill>
      <patternFill patternType="none"/>
    </fill>
    <fill>
      <patternFill patternType="gray125"/>
    </fill>
    <fill>
      <patternFill patternType="solid">
        <fgColor rgb="FF1B2A3A"/>
        <bgColor rgb="FF1F3864"/>
      </patternFill>
    </fill>
    <fill>
      <patternFill patternType="solid">
        <fgColor rgb="FFEDF1F4"/>
        <bgColor rgb="FFE8F2EE"/>
      </patternFill>
    </fill>
    <fill>
      <patternFill patternType="solid">
        <fgColor rgb="FFE8F2EE"/>
        <bgColor rgb="FFEDF1F4"/>
      </patternFill>
    </fill>
    <fill>
      <patternFill patternType="solid">
        <fgColor theme="3"/>
        <bgColor rgb="FF1F3864"/>
      </patternFill>
    </fill>
    <fill>
      <patternFill patternType="solid">
        <fgColor rgb="FFFFF2CC"/>
        <bgColor rgb="FFFCE4D6"/>
      </patternFill>
    </fill>
    <fill>
      <patternFill patternType="solid">
        <fgColor rgb="FF1F3864"/>
        <bgColor rgb="FF1F497D"/>
      </patternFill>
    </fill>
    <fill>
      <patternFill patternType="solid">
        <fgColor rgb="FFD9E2F3"/>
        <bgColor rgb="FFDCE6F2"/>
      </patternFill>
    </fill>
    <fill>
      <patternFill patternType="solid">
        <fgColor rgb="FFFCE4D6"/>
        <bgColor rgb="FFFFF2CC"/>
      </patternFill>
    </fill>
    <fill>
      <patternFill patternType="solid">
        <fgColor rgb="FFE2EFDA"/>
        <bgColor rgb="FFE8F2EE"/>
      </patternFill>
    </fill>
  </fills>
  <borders count="28">
    <border>
      <left/>
      <right/>
      <top/>
      <bottom/>
      <diagonal/>
    </border>
    <border>
      <left style="thin">
        <color rgb="FFD3DAE0"/>
      </left>
      <right style="thin">
        <color rgb="FFD3DAE0"/>
      </right>
      <top style="thin">
        <color rgb="FFD3DAE0"/>
      </top>
      <bottom style="thin">
        <color rgb="FFD3DAE0"/>
      </bottom>
      <diagonal/>
    </border>
    <border>
      <left style="thick">
        <color theme="3" tint="0.59987182226020086"/>
      </left>
      <right/>
      <top/>
      <bottom/>
      <diagonal/>
    </border>
    <border>
      <left style="thick">
        <color theme="3"/>
      </left>
      <right style="thick">
        <color theme="3"/>
      </right>
      <top style="thick">
        <color theme="3"/>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top/>
      <bottom style="thin">
        <color theme="3"/>
      </bottom>
      <diagonal/>
    </border>
    <border>
      <left/>
      <right style="thin">
        <color theme="3" tint="0.79989013336588644"/>
      </right>
      <top/>
      <bottom/>
      <diagonal/>
    </border>
    <border>
      <left/>
      <right style="thin">
        <color theme="3"/>
      </right>
      <top/>
      <bottom/>
      <diagonal/>
    </border>
    <border>
      <left style="thin">
        <color theme="3" tint="0.79989013336588644"/>
      </left>
      <right style="thin">
        <color theme="3" tint="0.79989013336588644"/>
      </right>
      <top style="thin">
        <color theme="3" tint="0.79989013336588644"/>
      </top>
      <bottom style="thin">
        <color theme="3" tint="0.79989013336588644"/>
      </bottom>
      <diagonal/>
    </border>
    <border>
      <left style="thin">
        <color theme="3"/>
      </left>
      <right/>
      <top/>
      <bottom style="thin">
        <color theme="3"/>
      </bottom>
      <diagonal/>
    </border>
    <border>
      <left/>
      <right style="thin">
        <color theme="3"/>
      </right>
      <top/>
      <bottom style="thin">
        <color theme="3"/>
      </bottom>
      <diagonal/>
    </border>
    <border>
      <left/>
      <right/>
      <top style="thin">
        <color theme="4" tint="0.79989013336588644"/>
      </top>
      <bottom style="thin">
        <color theme="4" tint="0.79989013336588644"/>
      </bottom>
      <diagonal/>
    </border>
    <border>
      <left style="medium">
        <color theme="3"/>
      </left>
      <right style="medium">
        <color theme="3"/>
      </right>
      <top style="medium">
        <color theme="3"/>
      </top>
      <bottom style="medium">
        <color theme="3"/>
      </bottom>
      <diagonal/>
    </border>
    <border>
      <left/>
      <right/>
      <top/>
      <bottom style="thin">
        <color auto="1"/>
      </bottom>
      <diagonal/>
    </border>
    <border>
      <left style="thin">
        <color rgb="FFBFBFBF"/>
      </left>
      <right style="thin">
        <color rgb="FFBFBFBF"/>
      </right>
      <top style="thin">
        <color rgb="FFBFBFBF"/>
      </top>
      <bottom style="thin">
        <color rgb="FFBFBFBF"/>
      </bottom>
      <diagonal/>
    </border>
    <border>
      <left/>
      <right/>
      <top/>
      <bottom style="thin">
        <color theme="4" tint="0.79989013336588644"/>
      </bottom>
      <diagonal/>
    </border>
  </borders>
  <cellStyleXfs count="2">
    <xf numFmtId="0" fontId="0" fillId="0" borderId="0"/>
    <xf numFmtId="0" fontId="1" fillId="0" borderId="0"/>
  </cellStyleXfs>
  <cellXfs count="187">
    <xf numFmtId="0" fontId="0" fillId="0" borderId="0" xfId="0"/>
    <xf numFmtId="0" fontId="2" fillId="0" borderId="0" xfId="0" applyFont="1"/>
    <xf numFmtId="0" fontId="3" fillId="3" borderId="1" xfId="0" applyFont="1" applyFill="1" applyBorder="1" applyAlignment="1">
      <alignment vertical="top"/>
    </xf>
    <xf numFmtId="0" fontId="2" fillId="0" borderId="0" xfId="0" applyFont="1" applyAlignment="1">
      <alignment vertical="center"/>
    </xf>
    <xf numFmtId="0" fontId="5" fillId="0" borderId="0" xfId="0" applyFont="1" applyAlignment="1">
      <alignment vertical="center"/>
    </xf>
    <xf numFmtId="0" fontId="2" fillId="0" borderId="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0" xfId="0" applyFont="1"/>
    <xf numFmtId="0" fontId="5" fillId="0" borderId="0" xfId="0" applyFont="1"/>
    <xf numFmtId="0" fontId="11" fillId="0" borderId="0" xfId="0" applyFont="1" applyAlignment="1">
      <alignment vertical="center"/>
    </xf>
    <xf numFmtId="0" fontId="2" fillId="0" borderId="0" xfId="0" applyFont="1" applyAlignment="1">
      <alignment horizontal="left" vertical="center"/>
    </xf>
    <xf numFmtId="0" fontId="12" fillId="0" borderId="0" xfId="0" applyFont="1" applyAlignment="1">
      <alignment horizontal="left" vertical="center"/>
    </xf>
    <xf numFmtId="0" fontId="12" fillId="0" borderId="0" xfId="0" applyFont="1"/>
    <xf numFmtId="0" fontId="5" fillId="0" borderId="0" xfId="0" applyFont="1" applyAlignment="1">
      <alignment horizontal="left" vertical="center"/>
    </xf>
    <xf numFmtId="2" fontId="5" fillId="0" borderId="0" xfId="0" applyNumberFormat="1" applyFont="1" applyAlignment="1">
      <alignment horizontal="left" vertical="center"/>
    </xf>
    <xf numFmtId="4" fontId="5" fillId="0" borderId="0" xfId="0" applyNumberFormat="1" applyFont="1" applyAlignment="1">
      <alignment horizontal="left" vertical="center"/>
    </xf>
    <xf numFmtId="4" fontId="5" fillId="0" borderId="0" xfId="0" applyNumberFormat="1" applyFont="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3" fillId="0" borderId="8" xfId="0" applyFont="1" applyBorder="1" applyAlignment="1">
      <alignment vertical="center"/>
    </xf>
    <xf numFmtId="0" fontId="2" fillId="0" borderId="9" xfId="0" applyFont="1" applyBorder="1" applyAlignment="1">
      <alignment vertical="center"/>
    </xf>
    <xf numFmtId="3" fontId="5" fillId="0" borderId="0" xfId="0" applyNumberFormat="1" applyFont="1" applyAlignment="1">
      <alignment horizontal="left" vertical="center"/>
    </xf>
    <xf numFmtId="0" fontId="13" fillId="0" borderId="10" xfId="0" applyFont="1" applyBorder="1" applyAlignment="1">
      <alignment vertical="center"/>
    </xf>
    <xf numFmtId="0" fontId="13" fillId="0" borderId="11"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3" fillId="0" borderId="0" xfId="0" applyFont="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2" fillId="0" borderId="14" xfId="0" applyFont="1" applyBorder="1" applyAlignment="1">
      <alignment vertical="center"/>
    </xf>
    <xf numFmtId="164" fontId="5" fillId="0" borderId="0" xfId="0" applyNumberFormat="1" applyFont="1" applyAlignment="1">
      <alignment horizontal="left" vertical="center"/>
    </xf>
    <xf numFmtId="0" fontId="13" fillId="0" borderId="16"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2" fontId="5" fillId="0" borderId="0" xfId="0" applyNumberFormat="1" applyFont="1" applyAlignment="1">
      <alignment vertical="center"/>
    </xf>
    <xf numFmtId="166" fontId="5" fillId="0" borderId="0" xfId="0" applyNumberFormat="1" applyFont="1" applyAlignment="1">
      <alignment horizontal="left" vertical="center"/>
    </xf>
    <xf numFmtId="0" fontId="16" fillId="0" borderId="0" xfId="0" applyFont="1" applyAlignment="1">
      <alignment vertical="center"/>
    </xf>
    <xf numFmtId="0" fontId="16" fillId="0" borderId="0" xfId="0" applyFont="1" applyAlignment="1">
      <alignment horizontal="center" vertical="center"/>
    </xf>
    <xf numFmtId="0" fontId="13" fillId="0" borderId="18" xfId="0" applyFont="1" applyBorder="1" applyAlignment="1">
      <alignment vertical="center"/>
    </xf>
    <xf numFmtId="0" fontId="2" fillId="0" borderId="18" xfId="0" applyFont="1" applyBorder="1"/>
    <xf numFmtId="0" fontId="13" fillId="0" borderId="21" xfId="0" applyFont="1" applyBorder="1" applyAlignment="1">
      <alignment vertical="center"/>
    </xf>
    <xf numFmtId="0" fontId="13" fillId="0" borderId="17" xfId="0" applyFont="1" applyBorder="1" applyAlignment="1">
      <alignment vertical="center"/>
    </xf>
    <xf numFmtId="0" fontId="2" fillId="0" borderId="17" xfId="0" applyFont="1" applyBorder="1" applyAlignment="1">
      <alignment vertical="center"/>
    </xf>
    <xf numFmtId="0" fontId="2" fillId="0" borderId="22" xfId="0" applyFont="1" applyBorder="1" applyAlignment="1">
      <alignment vertical="center"/>
    </xf>
    <xf numFmtId="0" fontId="2" fillId="0" borderId="13" xfId="0" applyFont="1" applyBorder="1" applyAlignment="1">
      <alignment vertical="center"/>
    </xf>
    <xf numFmtId="0" fontId="2" fillId="0" borderId="16" xfId="0" applyFont="1" applyBorder="1" applyAlignment="1">
      <alignment vertical="center"/>
    </xf>
    <xf numFmtId="0" fontId="2" fillId="0" borderId="0" xfId="0" applyFont="1" applyAlignment="1">
      <alignment horizontal="center" vertical="center"/>
    </xf>
    <xf numFmtId="0" fontId="2" fillId="0" borderId="21" xfId="0" applyFont="1" applyBorder="1" applyAlignment="1">
      <alignment vertical="center"/>
    </xf>
    <xf numFmtId="0" fontId="18" fillId="0" borderId="17" xfId="0" applyFont="1" applyBorder="1" applyAlignment="1">
      <alignment vertical="center"/>
    </xf>
    <xf numFmtId="0" fontId="9" fillId="0" borderId="0" xfId="0" applyFont="1" applyAlignment="1">
      <alignment horizontal="right" vertical="center"/>
    </xf>
    <xf numFmtId="0" fontId="9" fillId="0" borderId="0" xfId="0" applyFont="1" applyAlignment="1">
      <alignment vertical="center"/>
    </xf>
    <xf numFmtId="0" fontId="15" fillId="0" borderId="18" xfId="0" applyFont="1" applyBorder="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6" fillId="0" borderId="18" xfId="0" applyFont="1" applyBorder="1" applyAlignment="1">
      <alignment vertical="center"/>
    </xf>
    <xf numFmtId="0" fontId="20" fillId="0" borderId="0" xfId="0" applyFont="1" applyAlignment="1">
      <alignment vertical="top"/>
    </xf>
    <xf numFmtId="0" fontId="21" fillId="7" borderId="0" xfId="0" applyFont="1" applyFill="1"/>
    <xf numFmtId="0" fontId="22" fillId="8" borderId="26" xfId="0" applyFont="1" applyFill="1" applyBorder="1" applyAlignment="1">
      <alignment vertical="center"/>
    </xf>
    <xf numFmtId="0" fontId="23" fillId="0" borderId="26" xfId="0" applyFont="1" applyBorder="1" applyAlignment="1">
      <alignment vertical="top"/>
    </xf>
    <xf numFmtId="0" fontId="24" fillId="0" borderId="26" xfId="0" applyFont="1" applyBorder="1" applyAlignment="1">
      <alignment vertical="top"/>
    </xf>
    <xf numFmtId="173" fontId="24" fillId="0" borderId="26" xfId="0" applyNumberFormat="1" applyFont="1" applyBorder="1" applyAlignment="1">
      <alignment horizontal="right"/>
    </xf>
    <xf numFmtId="0" fontId="24" fillId="0" borderId="26" xfId="0" applyFont="1" applyBorder="1" applyAlignment="1">
      <alignment horizontal="right"/>
    </xf>
    <xf numFmtId="10" fontId="24" fillId="0" borderId="26" xfId="0" applyNumberFormat="1" applyFont="1" applyBorder="1" applyAlignment="1">
      <alignment horizontal="right"/>
    </xf>
    <xf numFmtId="166" fontId="24" fillId="0" borderId="26" xfId="0" applyNumberFormat="1" applyFont="1" applyBorder="1" applyAlignment="1">
      <alignment horizontal="right"/>
    </xf>
    <xf numFmtId="3" fontId="24" fillId="0" borderId="26" xfId="0" applyNumberFormat="1" applyFont="1" applyBorder="1" applyAlignment="1">
      <alignment horizontal="right"/>
    </xf>
    <xf numFmtId="174" fontId="24" fillId="0" borderId="26" xfId="0" applyNumberFormat="1" applyFont="1" applyBorder="1" applyAlignment="1">
      <alignment horizontal="right"/>
    </xf>
    <xf numFmtId="0" fontId="24" fillId="6" borderId="26" xfId="0" applyFont="1" applyFill="1" applyBorder="1"/>
    <xf numFmtId="164" fontId="24" fillId="6" borderId="26" xfId="0" applyNumberFormat="1" applyFont="1" applyFill="1" applyBorder="1" applyAlignment="1">
      <alignment horizontal="right"/>
    </xf>
    <xf numFmtId="0" fontId="24" fillId="6" borderId="26" xfId="0" applyFont="1" applyFill="1" applyBorder="1" applyAlignment="1">
      <alignment horizontal="right"/>
    </xf>
    <xf numFmtId="3" fontId="24" fillId="6" borderId="26" xfId="0" applyNumberFormat="1" applyFont="1" applyFill="1" applyBorder="1" applyAlignment="1">
      <alignment horizontal="right"/>
    </xf>
    <xf numFmtId="0" fontId="24" fillId="9" borderId="26" xfId="0" applyFont="1" applyFill="1" applyBorder="1"/>
    <xf numFmtId="3" fontId="24" fillId="9" borderId="26" xfId="0" applyNumberFormat="1" applyFont="1" applyFill="1" applyBorder="1" applyAlignment="1">
      <alignment horizontal="right"/>
    </xf>
    <xf numFmtId="0" fontId="24" fillId="9" borderId="26" xfId="0" applyFont="1" applyFill="1" applyBorder="1" applyAlignment="1">
      <alignment horizontal="right"/>
    </xf>
    <xf numFmtId="166" fontId="24" fillId="9" borderId="26" xfId="0" applyNumberFormat="1" applyFont="1" applyFill="1" applyBorder="1" applyAlignment="1">
      <alignment horizontal="right"/>
    </xf>
    <xf numFmtId="10" fontId="24" fillId="0" borderId="26" xfId="0" applyNumberFormat="1" applyFont="1" applyBorder="1" applyAlignment="1">
      <alignment horizontal="right" vertical="top"/>
    </xf>
    <xf numFmtId="166" fontId="24" fillId="0" borderId="26" xfId="0" applyNumberFormat="1" applyFont="1" applyBorder="1" applyAlignment="1">
      <alignment horizontal="right" vertical="top"/>
    </xf>
    <xf numFmtId="3" fontId="24" fillId="0" borderId="26" xfId="0" applyNumberFormat="1" applyFont="1" applyBorder="1" applyAlignment="1">
      <alignment horizontal="right" vertical="top"/>
    </xf>
    <xf numFmtId="0" fontId="25" fillId="0" borderId="27" xfId="0" applyFont="1" applyBorder="1" applyAlignment="1">
      <alignment horizontal="left" vertical="center"/>
    </xf>
    <xf numFmtId="2" fontId="24" fillId="0" borderId="26" xfId="0" applyNumberFormat="1" applyFont="1" applyBorder="1"/>
    <xf numFmtId="3" fontId="24" fillId="0" borderId="26" xfId="0" applyNumberFormat="1" applyFont="1" applyBorder="1"/>
    <xf numFmtId="2" fontId="24" fillId="0" borderId="26" xfId="0" applyNumberFormat="1" applyFont="1" applyBorder="1" applyAlignment="1">
      <alignment horizontal="right"/>
    </xf>
    <xf numFmtId="164" fontId="24" fillId="0" borderId="26" xfId="0" applyNumberFormat="1" applyFont="1" applyBorder="1" applyAlignment="1">
      <alignment horizontal="right"/>
    </xf>
    <xf numFmtId="0" fontId="24" fillId="10" borderId="26" xfId="0" applyFont="1" applyFill="1" applyBorder="1"/>
    <xf numFmtId="2" fontId="24" fillId="10" borderId="26" xfId="0" applyNumberFormat="1" applyFont="1" applyFill="1" applyBorder="1" applyAlignment="1">
      <alignment horizontal="right"/>
    </xf>
    <xf numFmtId="164" fontId="24" fillId="10" borderId="26" xfId="0" applyNumberFormat="1" applyFont="1" applyFill="1" applyBorder="1" applyAlignment="1">
      <alignment horizontal="right"/>
    </xf>
    <xf numFmtId="4" fontId="24" fillId="0" borderId="26" xfId="0" applyNumberFormat="1" applyFont="1" applyBorder="1" applyAlignment="1">
      <alignment horizontal="right"/>
    </xf>
    <xf numFmtId="0" fontId="22" fillId="6" borderId="26" xfId="0" applyFont="1" applyFill="1" applyBorder="1"/>
    <xf numFmtId="4" fontId="22" fillId="6" borderId="26" xfId="0" applyNumberFormat="1" applyFont="1" applyFill="1" applyBorder="1" applyAlignment="1">
      <alignment horizontal="right"/>
    </xf>
    <xf numFmtId="2" fontId="24" fillId="9" borderId="26" xfId="0" applyNumberFormat="1" applyFont="1" applyFill="1" applyBorder="1" applyAlignment="1">
      <alignment horizontal="right"/>
    </xf>
    <xf numFmtId="2" fontId="22" fillId="6" borderId="26" xfId="0" applyNumberFormat="1" applyFont="1" applyFill="1" applyBorder="1" applyAlignment="1">
      <alignment horizontal="right"/>
    </xf>
    <xf numFmtId="4" fontId="24" fillId="10" borderId="26" xfId="0" applyNumberFormat="1" applyFont="1" applyFill="1" applyBorder="1" applyAlignment="1">
      <alignment horizontal="right"/>
    </xf>
    <xf numFmtId="0" fontId="22" fillId="10" borderId="26" xfId="0" applyFont="1" applyFill="1" applyBorder="1"/>
    <xf numFmtId="4" fontId="22" fillId="10" borderId="26" xfId="0" applyNumberFormat="1" applyFont="1" applyFill="1" applyBorder="1" applyAlignment="1">
      <alignment horizontal="right"/>
    </xf>
    <xf numFmtId="2" fontId="22" fillId="10" borderId="26" xfId="0" applyNumberFormat="1" applyFont="1" applyFill="1" applyBorder="1" applyAlignment="1">
      <alignment horizontal="right"/>
    </xf>
    <xf numFmtId="0" fontId="22" fillId="0" borderId="26" xfId="0" applyFont="1" applyBorder="1"/>
    <xf numFmtId="4" fontId="22" fillId="0" borderId="26" xfId="0" applyNumberFormat="1" applyFont="1" applyBorder="1" applyAlignment="1">
      <alignment horizontal="right"/>
    </xf>
    <xf numFmtId="0" fontId="22" fillId="9" borderId="26" xfId="0" applyFont="1" applyFill="1" applyBorder="1"/>
    <xf numFmtId="2" fontId="22" fillId="9" borderId="26" xfId="0" applyNumberFormat="1" applyFont="1" applyFill="1" applyBorder="1" applyAlignment="1">
      <alignment horizontal="right"/>
    </xf>
    <xf numFmtId="3" fontId="23" fillId="0" borderId="26" xfId="0" applyNumberFormat="1" applyFont="1" applyBorder="1" applyAlignment="1">
      <alignment vertical="top"/>
    </xf>
    <xf numFmtId="2" fontId="23" fillId="0" borderId="26" xfId="0" applyNumberFormat="1" applyFont="1" applyBorder="1" applyAlignment="1">
      <alignment vertical="top"/>
    </xf>
    <xf numFmtId="164" fontId="23" fillId="0" borderId="26" xfId="0" applyNumberFormat="1" applyFont="1" applyBorder="1" applyAlignment="1">
      <alignment vertical="top"/>
    </xf>
    <xf numFmtId="10" fontId="23" fillId="0" borderId="26" xfId="0" applyNumberFormat="1" applyFont="1" applyBorder="1" applyAlignment="1">
      <alignment vertical="top"/>
    </xf>
    <xf numFmtId="4" fontId="23" fillId="0" borderId="26" xfId="0" applyNumberFormat="1" applyFont="1" applyBorder="1" applyAlignment="1">
      <alignment vertical="top"/>
    </xf>
    <xf numFmtId="0" fontId="25" fillId="0" borderId="26" xfId="0" applyFont="1" applyBorder="1" applyAlignment="1">
      <alignment vertical="top"/>
    </xf>
    <xf numFmtId="4" fontId="25" fillId="0" borderId="26" xfId="0" applyNumberFormat="1" applyFont="1" applyBorder="1" applyAlignment="1">
      <alignment horizontal="right"/>
    </xf>
    <xf numFmtId="4" fontId="25" fillId="0" borderId="26" xfId="0" applyNumberFormat="1" applyFont="1" applyBorder="1" applyAlignment="1">
      <alignment vertical="top"/>
    </xf>
    <xf numFmtId="0" fontId="25" fillId="0" borderId="0" xfId="0" applyFont="1"/>
    <xf numFmtId="165" fontId="25" fillId="0" borderId="26" xfId="0" applyNumberFormat="1" applyFont="1" applyBorder="1" applyAlignment="1">
      <alignment horizontal="right"/>
    </xf>
    <xf numFmtId="165" fontId="25" fillId="0" borderId="26" xfId="0" applyNumberFormat="1" applyFont="1" applyBorder="1" applyAlignment="1">
      <alignment vertical="top"/>
    </xf>
    <xf numFmtId="2" fontId="25" fillId="0" borderId="26" xfId="0" applyNumberFormat="1" applyFont="1" applyBorder="1" applyAlignment="1">
      <alignment horizontal="right"/>
    </xf>
    <xf numFmtId="165" fontId="23" fillId="0" borderId="26" xfId="0" applyNumberFormat="1" applyFont="1" applyBorder="1" applyAlignment="1">
      <alignment vertical="top"/>
    </xf>
    <xf numFmtId="2" fontId="2" fillId="0" borderId="0" xfId="0" applyNumberFormat="1" applyFont="1"/>
    <xf numFmtId="2" fontId="24" fillId="0" borderId="26" xfId="0" applyNumberFormat="1" applyFont="1" applyBorder="1" applyAlignment="1">
      <alignment horizontal="right" vertical="top"/>
    </xf>
    <xf numFmtId="0" fontId="22" fillId="6" borderId="26" xfId="0" applyFont="1" applyFill="1" applyBorder="1" applyAlignment="1">
      <alignment vertical="top"/>
    </xf>
    <xf numFmtId="3" fontId="22" fillId="6" borderId="26" xfId="0" applyNumberFormat="1" applyFont="1" applyFill="1" applyBorder="1" applyAlignment="1">
      <alignment horizontal="right" vertical="top"/>
    </xf>
    <xf numFmtId="164" fontId="24" fillId="0" borderId="26" xfId="0" applyNumberFormat="1" applyFont="1" applyBorder="1" applyAlignment="1">
      <alignment horizontal="right" vertical="top"/>
    </xf>
    <xf numFmtId="0" fontId="24" fillId="10" borderId="26" xfId="0" applyFont="1" applyFill="1" applyBorder="1" applyAlignment="1">
      <alignment vertical="top"/>
    </xf>
    <xf numFmtId="2" fontId="24" fillId="10" borderId="26" xfId="0" applyNumberFormat="1" applyFont="1" applyFill="1" applyBorder="1" applyAlignment="1">
      <alignment horizontal="right" vertical="top"/>
    </xf>
    <xf numFmtId="0" fontId="24" fillId="9" borderId="26" xfId="0" applyFont="1" applyFill="1" applyBorder="1" applyAlignment="1">
      <alignment vertical="top"/>
    </xf>
    <xf numFmtId="164" fontId="24" fillId="9" borderId="26" xfId="0" applyNumberFormat="1" applyFont="1" applyFill="1" applyBorder="1" applyAlignment="1">
      <alignment horizontal="right" vertical="top"/>
    </xf>
    <xf numFmtId="4" fontId="24" fillId="0" borderId="26" xfId="0" applyNumberFormat="1" applyFont="1" applyBorder="1" applyAlignment="1">
      <alignment horizontal="right" vertical="top"/>
    </xf>
    <xf numFmtId="4" fontId="22" fillId="6" borderId="26" xfId="0" applyNumberFormat="1" applyFont="1" applyFill="1" applyBorder="1" applyAlignment="1">
      <alignment horizontal="right" vertical="top"/>
    </xf>
    <xf numFmtId="0" fontId="22" fillId="10" borderId="26" xfId="0" applyFont="1" applyFill="1" applyBorder="1" applyAlignment="1">
      <alignment vertical="top"/>
    </xf>
    <xf numFmtId="0" fontId="26" fillId="0" borderId="0" xfId="0" applyFont="1"/>
    <xf numFmtId="4" fontId="22" fillId="10" borderId="26" xfId="0" applyNumberFormat="1" applyFont="1" applyFill="1" applyBorder="1" applyAlignment="1">
      <alignment horizontal="right" vertical="top"/>
    </xf>
    <xf numFmtId="0" fontId="22" fillId="9" borderId="26" xfId="0" applyFont="1" applyFill="1" applyBorder="1" applyAlignment="1">
      <alignment vertical="top"/>
    </xf>
    <xf numFmtId="4" fontId="22" fillId="9" borderId="26" xfId="0" applyNumberFormat="1" applyFont="1" applyFill="1" applyBorder="1" applyAlignment="1">
      <alignment horizontal="right" vertical="top"/>
    </xf>
    <xf numFmtId="10" fontId="24" fillId="0" borderId="26" xfId="0" applyNumberFormat="1" applyFont="1" applyBorder="1"/>
    <xf numFmtId="166" fontId="24" fillId="0" borderId="26" xfId="0" applyNumberFormat="1" applyFont="1" applyBorder="1"/>
    <xf numFmtId="164" fontId="24" fillId="0" borderId="26" xfId="0" applyNumberFormat="1" applyFont="1" applyBorder="1"/>
    <xf numFmtId="165" fontId="24" fillId="0" borderId="26" xfId="0" applyNumberFormat="1" applyFont="1" applyBorder="1"/>
    <xf numFmtId="0" fontId="27" fillId="0" borderId="1" xfId="0" applyFont="1" applyBorder="1" applyAlignment="1">
      <alignment horizontal="left" vertical="center"/>
    </xf>
    <xf numFmtId="0" fontId="27" fillId="0" borderId="1" xfId="0" applyFont="1" applyBorder="1" applyAlignment="1">
      <alignment vertical="top"/>
    </xf>
    <xf numFmtId="4" fontId="27" fillId="0" borderId="1" xfId="0" applyNumberFormat="1" applyFont="1" applyBorder="1" applyAlignment="1">
      <alignment horizontal="left" vertical="center"/>
    </xf>
    <xf numFmtId="0" fontId="29" fillId="0" borderId="0" xfId="0" applyFont="1"/>
    <xf numFmtId="164" fontId="27" fillId="0" borderId="1" xfId="0" applyNumberFormat="1" applyFont="1" applyBorder="1" applyAlignment="1">
      <alignment horizontal="left" vertical="center"/>
    </xf>
    <xf numFmtId="0" fontId="28" fillId="4" borderId="1" xfId="0" applyFont="1" applyFill="1" applyBorder="1" applyAlignment="1">
      <alignment horizontal="left" vertical="center"/>
    </xf>
    <xf numFmtId="0" fontId="28" fillId="4" borderId="1" xfId="0" applyFont="1" applyFill="1" applyBorder="1" applyAlignment="1">
      <alignment vertical="top"/>
    </xf>
    <xf numFmtId="4" fontId="28" fillId="4" borderId="1" xfId="0" applyNumberFormat="1" applyFont="1" applyFill="1" applyBorder="1" applyAlignment="1">
      <alignment horizontal="left" vertical="center"/>
    </xf>
    <xf numFmtId="165" fontId="28" fillId="4" borderId="1" xfId="0" applyNumberFormat="1" applyFont="1" applyFill="1" applyBorder="1" applyAlignment="1">
      <alignment horizontal="left" vertical="center"/>
    </xf>
    <xf numFmtId="2" fontId="27" fillId="0" borderId="1" xfId="0" applyNumberFormat="1" applyFont="1" applyBorder="1" applyAlignment="1">
      <alignment horizontal="left" vertical="center"/>
    </xf>
    <xf numFmtId="3" fontId="27" fillId="0" borderId="1" xfId="0" applyNumberFormat="1" applyFont="1" applyBorder="1" applyAlignment="1">
      <alignment horizontal="left" vertical="center"/>
    </xf>
    <xf numFmtId="165" fontId="27" fillId="0" borderId="1" xfId="0" applyNumberFormat="1" applyFont="1" applyBorder="1" applyAlignment="1">
      <alignment horizontal="left" vertical="center"/>
    </xf>
    <xf numFmtId="10" fontId="27" fillId="0" borderId="1" xfId="0" applyNumberFormat="1" applyFont="1" applyBorder="1" applyAlignment="1">
      <alignment horizontal="left" vertical="center"/>
    </xf>
    <xf numFmtId="49" fontId="27" fillId="0" borderId="1" xfId="0" applyNumberFormat="1" applyFont="1" applyBorder="1" applyAlignment="1">
      <alignment horizontal="left" vertical="center"/>
    </xf>
    <xf numFmtId="0" fontId="19" fillId="7" borderId="0" xfId="0" applyFont="1" applyFill="1" applyAlignment="1">
      <alignment horizontal="left"/>
    </xf>
    <xf numFmtId="0" fontId="32" fillId="0" borderId="0" xfId="0" applyFont="1"/>
    <xf numFmtId="0" fontId="30" fillId="0" borderId="0" xfId="0" applyFont="1"/>
    <xf numFmtId="0" fontId="31" fillId="0" borderId="0" xfId="0" applyFont="1"/>
    <xf numFmtId="0" fontId="21" fillId="2" borderId="0" xfId="0" applyFont="1" applyFill="1" applyAlignment="1">
      <alignment horizontal="left" vertical="center"/>
    </xf>
    <xf numFmtId="0" fontId="4" fillId="0" borderId="0" xfId="0" applyFont="1" applyAlignment="1">
      <alignment vertical="top"/>
    </xf>
    <xf numFmtId="0" fontId="6" fillId="0" borderId="0" xfId="0" applyFont="1" applyAlignment="1">
      <alignment horizontal="left" vertical="center"/>
    </xf>
    <xf numFmtId="0" fontId="8" fillId="5" borderId="3" xfId="0" applyFont="1" applyFill="1" applyBorder="1" applyAlignment="1">
      <alignment horizontal="center" vertical="center"/>
    </xf>
    <xf numFmtId="0" fontId="10" fillId="0" borderId="4" xfId="0" applyFont="1" applyBorder="1" applyAlignment="1">
      <alignment horizontal="center" vertical="center"/>
    </xf>
    <xf numFmtId="0" fontId="2" fillId="0" borderId="0" xfId="0" applyFont="1" applyAlignment="1">
      <alignment horizontal="left" vertical="center"/>
    </xf>
    <xf numFmtId="2" fontId="14" fillId="0" borderId="0" xfId="0" applyNumberFormat="1" applyFont="1" applyAlignment="1">
      <alignment horizontal="center" vertical="center"/>
    </xf>
    <xf numFmtId="0" fontId="13" fillId="0" borderId="0" xfId="0" applyFont="1" applyAlignment="1">
      <alignment horizontal="center" vertical="center"/>
    </xf>
    <xf numFmtId="0" fontId="9" fillId="0" borderId="15" xfId="0" applyFont="1" applyBorder="1" applyAlignment="1">
      <alignment horizontal="left" vertical="top"/>
    </xf>
    <xf numFmtId="0" fontId="15" fillId="0" borderId="17" xfId="0" applyFont="1" applyBorder="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0" fontId="17" fillId="0" borderId="20" xfId="0" applyFont="1" applyBorder="1" applyAlignment="1">
      <alignment horizontal="left" vertical="center"/>
    </xf>
    <xf numFmtId="0" fontId="17" fillId="0" borderId="20" xfId="0" applyFont="1" applyBorder="1" applyAlignment="1">
      <alignment horizontal="right" vertical="center"/>
    </xf>
    <xf numFmtId="0" fontId="13" fillId="0" borderId="20" xfId="0" applyFont="1" applyBorder="1" applyAlignment="1">
      <alignment horizontal="left" vertical="center"/>
    </xf>
    <xf numFmtId="167" fontId="13" fillId="0" borderId="20" xfId="0" applyNumberFormat="1" applyFont="1" applyBorder="1" applyAlignment="1">
      <alignment horizontal="right" vertical="center"/>
    </xf>
    <xf numFmtId="168" fontId="13" fillId="0" borderId="20" xfId="0" applyNumberFormat="1" applyFont="1" applyBorder="1" applyAlignment="1">
      <alignment horizontal="right" vertical="center"/>
    </xf>
    <xf numFmtId="169" fontId="13" fillId="0" borderId="20" xfId="0" applyNumberFormat="1" applyFont="1" applyBorder="1" applyAlignment="1">
      <alignment horizontal="right" vertical="center"/>
    </xf>
    <xf numFmtId="170" fontId="13" fillId="0" borderId="20" xfId="0" applyNumberFormat="1" applyFont="1" applyBorder="1" applyAlignment="1">
      <alignment horizontal="right" vertical="center"/>
    </xf>
    <xf numFmtId="171" fontId="13" fillId="0" borderId="20" xfId="0" applyNumberFormat="1" applyFont="1" applyBorder="1" applyAlignment="1">
      <alignment horizontal="right" vertical="center"/>
    </xf>
    <xf numFmtId="172" fontId="13" fillId="0" borderId="20" xfId="0" applyNumberFormat="1" applyFont="1" applyBorder="1" applyAlignment="1">
      <alignment horizontal="right" vertical="center"/>
    </xf>
    <xf numFmtId="0" fontId="2" fillId="0" borderId="0" xfId="0" applyFont="1" applyAlignment="1">
      <alignment horizontal="center" vertical="center"/>
    </xf>
    <xf numFmtId="0" fontId="9" fillId="0" borderId="23" xfId="0" applyFont="1" applyBorder="1" applyAlignment="1">
      <alignment horizontal="left" vertical="center"/>
    </xf>
    <xf numFmtId="0" fontId="14" fillId="0" borderId="23" xfId="0" applyFont="1" applyBorder="1" applyAlignment="1">
      <alignment horizontal="right" vertical="center"/>
    </xf>
    <xf numFmtId="0" fontId="16" fillId="0" borderId="17" xfId="0" applyFont="1" applyBorder="1" applyAlignment="1">
      <alignment horizontal="center" vertical="center"/>
    </xf>
    <xf numFmtId="0" fontId="9" fillId="0" borderId="0" xfId="0" applyFont="1" applyAlignment="1">
      <alignment horizontal="left" vertical="center"/>
    </xf>
    <xf numFmtId="0" fontId="10" fillId="6" borderId="24" xfId="0" applyFont="1" applyFill="1" applyBorder="1" applyAlignment="1">
      <alignment horizontal="center" vertical="center"/>
    </xf>
    <xf numFmtId="0" fontId="16" fillId="0" borderId="0" xfId="0" applyFont="1" applyAlignment="1">
      <alignment horizontal="left" vertical="center"/>
    </xf>
    <xf numFmtId="0" fontId="14" fillId="0" borderId="0" xfId="0" applyFont="1" applyAlignment="1">
      <alignment horizontal="right" vertical="center"/>
    </xf>
    <xf numFmtId="0" fontId="14" fillId="0" borderId="0" xfId="0" applyFont="1" applyAlignment="1">
      <alignment horizontal="left" vertical="center"/>
    </xf>
    <xf numFmtId="0" fontId="16" fillId="0" borderId="25" xfId="0" applyFont="1" applyBorder="1" applyAlignment="1">
      <alignment horizontal="center" vertical="center"/>
    </xf>
    <xf numFmtId="0" fontId="19" fillId="7" borderId="0" xfId="0" applyFont="1" applyFill="1"/>
    <xf numFmtId="0" fontId="20" fillId="0" borderId="0" xfId="0" applyFont="1" applyAlignment="1">
      <alignment vertical="top"/>
    </xf>
    <xf numFmtId="0" fontId="21" fillId="7" borderId="0" xfId="0" applyFont="1" applyFill="1"/>
    <xf numFmtId="0" fontId="24" fillId="0" borderId="0" xfId="0" applyFont="1"/>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95959"/>
      <rgbColor rgb="FF800080"/>
      <rgbColor rgb="FF0B5C4B"/>
      <rgbColor rgb="FFBFBFBF"/>
      <rgbColor rgb="FF808080"/>
      <rgbColor rgb="FFD9E2F3"/>
      <rgbColor rgb="FFC0504D"/>
      <rgbColor rgb="FFFFF2CC"/>
      <rgbColor rgb="FFE8F2E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DF1F4"/>
      <rgbColor rgb="FFE2EFDA"/>
      <rgbColor rgb="FFDCE6F2"/>
      <rgbColor rgb="FF8EB4E3"/>
      <rgbColor rgb="FFD9D9D9"/>
      <rgbColor rgb="FFD3DAE0"/>
      <rgbColor rgb="FFFCE4D6"/>
      <rgbColor rgb="FF2E75B6"/>
      <rgbColor rgb="FF33CCCC"/>
      <rgbColor rgb="FF9BBB59"/>
      <rgbColor rgb="FFFFCC00"/>
      <rgbColor rgb="FFF79646"/>
      <rgbColor rgb="FFFF6600"/>
      <rgbColor rgb="FF5B6B7C"/>
      <rgbColor rgb="FF878787"/>
      <rgbColor rgb="FF1F3864"/>
      <rgbColor rgb="FF4F81BD"/>
      <rgbColor rgb="FF003300"/>
      <rgbColor rgb="FF1B2A3A"/>
      <rgbColor rgb="FF993300"/>
      <rgbColor rgb="FF8064A2"/>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Dashboard!$DA$28</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586D-4636-B1F2-B79ED0B7B264}"/>
              </c:ext>
            </c:extLst>
          </c:dPt>
          <c:dPt>
            <c:idx val="1"/>
            <c:invertIfNegative val="0"/>
            <c:bubble3D val="0"/>
            <c:spPr>
              <a:solidFill>
                <a:schemeClr val="tx2"/>
              </a:solidFill>
              <a:ln>
                <a:noFill/>
              </a:ln>
              <a:effectLst/>
            </c:spPr>
            <c:extLst>
              <c:ext xmlns:c16="http://schemas.microsoft.com/office/drawing/2014/chart" uri="{C3380CC4-5D6E-409C-BE32-E72D297353CC}">
                <c16:uniqueId val="{00000002-586D-4636-B1F2-B79ED0B7B26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Dashboard!$CZ$32:$CZ$33</c:f>
              <c:strCache>
                <c:ptCount val="2"/>
                <c:pt idx="0">
                  <c:v>Current Cost / Claim</c:v>
                </c:pt>
                <c:pt idx="1">
                  <c:v>ClaimPulse Cost / Claim</c:v>
                </c:pt>
              </c:strCache>
            </c:strRef>
          </c:cat>
          <c:val>
            <c:numRef>
              <c:f>Dashboard!$DA$32:$DA$33</c:f>
              <c:numCache>
                <c:formatCode>#,##0</c:formatCode>
                <c:ptCount val="2"/>
                <c:pt idx="0">
                  <c:v>1750</c:v>
                </c:pt>
                <c:pt idx="1">
                  <c:v>246</c:v>
                </c:pt>
              </c:numCache>
            </c:numRef>
          </c:val>
          <c:extLst>
            <c:ext xmlns:c16="http://schemas.microsoft.com/office/drawing/2014/chart" uri="{C3380CC4-5D6E-409C-BE32-E72D297353CC}">
              <c16:uniqueId val="{00000000-586D-4636-B1F2-B79ED0B7B264}"/>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Dashboard!$DA$17</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99DB-4FF0-A7D2-BF711A78B431}"/>
              </c:ext>
            </c:extLst>
          </c:dPt>
          <c:dPt>
            <c:idx val="1"/>
            <c:invertIfNegative val="0"/>
            <c:bubble3D val="0"/>
            <c:spPr>
              <a:solidFill>
                <a:schemeClr val="tx2"/>
              </a:solidFill>
              <a:ln>
                <a:noFill/>
              </a:ln>
              <a:effectLst/>
            </c:spPr>
            <c:extLst>
              <c:ext xmlns:c16="http://schemas.microsoft.com/office/drawing/2014/chart" uri="{C3380CC4-5D6E-409C-BE32-E72D297353CC}">
                <c16:uniqueId val="{00000003-99DB-4FF0-A7D2-BF711A78B43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Dashboard!$CZ$18:$CZ$19</c:f>
              <c:strCache>
                <c:ptCount val="2"/>
                <c:pt idx="0">
                  <c:v>Current annual touches</c:v>
                </c:pt>
                <c:pt idx="1">
                  <c:v>After ClaimPulse annual touches</c:v>
                </c:pt>
              </c:strCache>
            </c:strRef>
          </c:cat>
          <c:val>
            <c:numRef>
              <c:f>Dashboard!$DA$18:$DA$19</c:f>
              <c:numCache>
                <c:formatCode>General</c:formatCode>
                <c:ptCount val="2"/>
                <c:pt idx="0">
                  <c:v>1920151.7269511113</c:v>
                </c:pt>
                <c:pt idx="1">
                  <c:v>337398.08916426671</c:v>
                </c:pt>
              </c:numCache>
            </c:numRef>
          </c:val>
          <c:extLst>
            <c:ext xmlns:c16="http://schemas.microsoft.com/office/drawing/2014/chart" uri="{C3380CC4-5D6E-409C-BE32-E72D297353CC}">
              <c16:uniqueId val="{00000004-99DB-4FF0-A7D2-BF711A78B431}"/>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General"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Dashboard!$DA$22</c:f>
              <c:strCache>
                <c:ptCount val="1"/>
                <c:pt idx="0">
                  <c:v>Value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ADFC-4074-B117-4F5A614CED3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ADFC-4074-B117-4F5A614CED3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1-ADFC-4074-B117-4F5A614CED3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Dashboard!$CZ$23:$CZ$25</c:f>
              <c:strCache>
                <c:ptCount val="3"/>
                <c:pt idx="0">
                  <c:v>Straight through (Green)</c:v>
                </c:pt>
                <c:pt idx="1">
                  <c:v>Complex (Amber)</c:v>
                </c:pt>
                <c:pt idx="2">
                  <c:v>Investigation (Red)</c:v>
                </c:pt>
              </c:strCache>
            </c:strRef>
          </c:cat>
          <c:val>
            <c:numRef>
              <c:f>Dashboard!$DA$23:$DA$25</c:f>
              <c:numCache>
                <c:formatCode>0.000</c:formatCode>
                <c:ptCount val="3"/>
                <c:pt idx="0">
                  <c:v>0.65</c:v>
                </c:pt>
                <c:pt idx="1">
                  <c:v>0.25</c:v>
                </c:pt>
                <c:pt idx="2">
                  <c:v>0.1</c:v>
                </c:pt>
              </c:numCache>
            </c:numRef>
          </c:val>
          <c:extLst>
            <c:ext xmlns:c16="http://schemas.microsoft.com/office/drawing/2014/chart" uri="{C3380CC4-5D6E-409C-BE32-E72D297353CC}">
              <c16:uniqueId val="{00000000-ADFC-4074-B117-4F5A614CED34}"/>
            </c:ext>
          </c:extLst>
        </c:ser>
        <c:dLbls>
          <c:showLegendKey val="0"/>
          <c:showVal val="0"/>
          <c:showCatName val="0"/>
          <c:showSerName val="0"/>
          <c:showPercent val="1"/>
          <c:showBubbleSize val="0"/>
          <c:showLeaderLines val="1"/>
        </c:dLbls>
        <c:firstSliceAng val="160"/>
      </c:pieChart>
      <c:spPr>
        <a:noFill/>
        <a:ln>
          <a:noFill/>
        </a:ln>
        <a:effectLst/>
      </c:spPr>
    </c:plotArea>
    <c:legend>
      <c:legendPos val="r"/>
      <c:layout>
        <c:manualLayout>
          <c:xMode val="edge"/>
          <c:yMode val="edge"/>
          <c:x val="0.60624390417965124"/>
          <c:y val="0.20263358283918215"/>
          <c:w val="0.3710974855484454"/>
          <c:h val="0.692469459836039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bar"/>
        <c:grouping val="stacked"/>
        <c:varyColors val="0"/>
        <c:ser>
          <c:idx val="0"/>
          <c:order val="0"/>
          <c:tx>
            <c:strRef>
              <c:f>Dashboard!$DC$5</c:f>
              <c:strCache>
                <c:ptCount val="1"/>
                <c:pt idx="0">
                  <c:v>Value</c:v>
                </c:pt>
              </c:strCache>
            </c:strRef>
          </c:tx>
          <c:spPr>
            <a:solidFill>
              <a:schemeClr val="tx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F-40D4-AA7B-8E45A366AE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F-40D4-AA7B-8E45A366AE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F-40D4-AA7B-8E45A366AE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F-40D4-AA7B-8E45A366AEC4}"/>
                </c:ext>
              </c:extLst>
            </c:dLbl>
            <c:dLbl>
              <c:idx val="4"/>
              <c:layout>
                <c:manualLayout>
                  <c:x val="3.845618591368586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F-40D4-AA7B-8E45A366AEC4}"/>
                </c:ext>
              </c:extLst>
            </c:dLbl>
            <c:dLbl>
              <c:idx val="5"/>
              <c:layout>
                <c:manualLayout>
                  <c:x val="3.359170486409304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F-40D4-AA7B-8E45A366AEC4}"/>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F-40D4-AA7B-8E45A366AEC4}"/>
                </c:ext>
              </c:extLst>
            </c:dLbl>
            <c:numFmt formatCode="#,##0.00" sourceLinked="0"/>
            <c:spPr>
              <a:noFill/>
              <a:ln>
                <a:noFill/>
              </a:ln>
              <a:effectLst/>
            </c:spPr>
            <c:txPr>
              <a:bodyPr rot="0" spcFirstLastPara="1" vertOverflow="ellipsis" vert="horz" wrap="square" anchor="ctr" anchorCtr="1"/>
              <a:lstStyle/>
              <a:p>
                <a:pPr>
                  <a:defRPr sz="1100" b="0" i="0" u="none" strike="noStrike" baseline="0">
                    <a:solidFill>
                      <a:schemeClr val="bg1"/>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Dashboard!$DB$6:$DB$11</c:f>
              <c:strCache>
                <c:ptCount val="6"/>
                <c:pt idx="0">
                  <c:v>Labour</c:v>
                </c:pt>
                <c:pt idx="1">
                  <c:v>Fraud Graph</c:v>
                </c:pt>
                <c:pt idx="2">
                  <c:v>Synthetic Media</c:v>
                </c:pt>
                <c:pt idx="3">
                  <c:v>Capture Integrity Gate</c:v>
                </c:pt>
                <c:pt idx="4">
                  <c:v>Renewal</c:v>
                </c:pt>
                <c:pt idx="5">
                  <c:v>Friction Cost</c:v>
                </c:pt>
              </c:strCache>
            </c:strRef>
          </c:cat>
          <c:val>
            <c:numRef>
              <c:f>Dashboard!$DC$6:$DC$11</c:f>
              <c:numCache>
                <c:formatCode>#,##0.00</c:formatCode>
                <c:ptCount val="6"/>
                <c:pt idx="0">
                  <c:v>41.255831390492453</c:v>
                </c:pt>
                <c:pt idx="1">
                  <c:v>18.418297486149477</c:v>
                </c:pt>
                <c:pt idx="2">
                  <c:v>10.492257650840001</c:v>
                </c:pt>
                <c:pt idx="3">
                  <c:v>10.232387492305266</c:v>
                </c:pt>
                <c:pt idx="4">
                  <c:v>0.96007586347555574</c:v>
                </c:pt>
                <c:pt idx="5">
                  <c:v>-0.79000528194560016</c:v>
                </c:pt>
              </c:numCache>
            </c:numRef>
          </c:val>
          <c:extLst>
            <c:ext xmlns:c16="http://schemas.microsoft.com/office/drawing/2014/chart" uri="{C3380CC4-5D6E-409C-BE32-E72D297353CC}">
              <c16:uniqueId val="{00000000-70DF-40D4-AA7B-8E45A366AEC4}"/>
            </c:ext>
          </c:extLst>
        </c:ser>
        <c:dLbls>
          <c:showLegendKey val="0"/>
          <c:showVal val="1"/>
          <c:showCatName val="0"/>
          <c:showSerName val="0"/>
          <c:showPercent val="0"/>
          <c:showBubbleSize val="0"/>
        </c:dLbls>
        <c:gapWidth val="50"/>
        <c:overlap val="100"/>
        <c:axId val="1551177872"/>
        <c:axId val="1376517680"/>
      </c:barChart>
      <c:catAx>
        <c:axId val="15511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j-lt"/>
                <a:ea typeface="+mn-ea"/>
                <a:cs typeface="+mn-cs"/>
              </a:defRPr>
            </a:pPr>
            <a:endParaRPr lang="en-US"/>
          </a:p>
        </c:txPr>
        <c:crossAx val="1376517680"/>
        <c:crosses val="autoZero"/>
        <c:auto val="1"/>
        <c:lblAlgn val="ctr"/>
        <c:lblOffset val="100"/>
        <c:noMultiLvlLbl val="0"/>
      </c:catAx>
      <c:valAx>
        <c:axId val="1376517680"/>
        <c:scaling>
          <c:orientation val="minMax"/>
        </c:scaling>
        <c:delete val="1"/>
        <c:axPos val="b"/>
        <c:numFmt formatCode="#,##0.00" sourceLinked="1"/>
        <c:majorTickMark val="none"/>
        <c:minorTickMark val="none"/>
        <c:tickLblPos val="nextTo"/>
        <c:crossAx val="155117787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Dashboard!$DE$5</c:f>
              <c:strCache>
                <c:ptCount val="1"/>
                <c:pt idx="0">
                  <c:v>Annual Net Cash Flow</c:v>
                </c:pt>
              </c:strCache>
            </c:strRef>
          </c:tx>
          <c:spPr>
            <a:ln w="28575" cap="rnd">
              <a:solidFill>
                <a:schemeClr val="bg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Dashboard!$DE$6:$DE$11</c:f>
              <c:numCache>
                <c:formatCode>#,##0.00</c:formatCode>
                <c:ptCount val="6"/>
                <c:pt idx="0">
                  <c:v>-9.8904698000000018</c:v>
                </c:pt>
                <c:pt idx="1">
                  <c:v>30.964649181050611</c:v>
                </c:pt>
                <c:pt idx="2">
                  <c:v>74.820390678168934</c:v>
                </c:pt>
                <c:pt idx="3">
                  <c:v>88.945576598908318</c:v>
                </c:pt>
                <c:pt idx="4">
                  <c:v>96.683841763013334</c:v>
                </c:pt>
                <c:pt idx="5">
                  <c:v>105.09533599639549</c:v>
                </c:pt>
              </c:numCache>
            </c:numRef>
          </c:val>
          <c:smooth val="0"/>
          <c:extLst>
            <c:ext xmlns:c16="http://schemas.microsoft.com/office/drawing/2014/chart" uri="{C3380CC4-5D6E-409C-BE32-E72D297353CC}">
              <c16:uniqueId val="{00000000-780E-494C-86B0-083D45C292BA}"/>
            </c:ext>
          </c:extLst>
        </c:ser>
        <c:ser>
          <c:idx val="1"/>
          <c:order val="1"/>
          <c:tx>
            <c:strRef>
              <c:f>Dashboard!$DF$5</c:f>
              <c:strCache>
                <c:ptCount val="1"/>
                <c:pt idx="0">
                  <c:v>Cumulative Net Position</c:v>
                </c:pt>
              </c:strCache>
            </c:strRef>
          </c:tx>
          <c:spPr>
            <a:ln w="28575" cap="rnd">
              <a:solidFill>
                <a:schemeClr val="tx2"/>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80E-494C-86B0-083D45C292B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Dashboard!$DF$6:$DF$11</c:f>
              <c:numCache>
                <c:formatCode>General</c:formatCode>
                <c:ptCount val="6"/>
                <c:pt idx="0" formatCode="#,##0.00">
                  <c:v>-9.8904698000000018</c:v>
                </c:pt>
                <c:pt idx="1">
                  <c:v>21.074179381050609</c:v>
                </c:pt>
                <c:pt idx="2">
                  <c:v>95.894570059219546</c:v>
                </c:pt>
                <c:pt idx="3">
                  <c:v>184.84014665812788</c:v>
                </c:pt>
                <c:pt idx="4">
                  <c:v>281.52398842114121</c:v>
                </c:pt>
                <c:pt idx="5">
                  <c:v>386.61932441753669</c:v>
                </c:pt>
              </c:numCache>
            </c:numRef>
          </c:val>
          <c:smooth val="0"/>
          <c:extLst>
            <c:ext xmlns:c16="http://schemas.microsoft.com/office/drawing/2014/chart" uri="{C3380CC4-5D6E-409C-BE32-E72D297353CC}">
              <c16:uniqueId val="{00000001-780E-494C-86B0-083D45C292BA}"/>
            </c:ext>
          </c:extLst>
        </c:ser>
        <c:dLbls>
          <c:showLegendKey val="0"/>
          <c:showVal val="0"/>
          <c:showCatName val="0"/>
          <c:showSerName val="0"/>
          <c:showPercent val="0"/>
          <c:showBubbleSize val="0"/>
        </c:dLbls>
        <c:smooth val="0"/>
        <c:axId val="1564356432"/>
        <c:axId val="1376535920"/>
      </c:lineChart>
      <c:catAx>
        <c:axId val="156435643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535920"/>
        <c:crosses val="autoZero"/>
        <c:auto val="1"/>
        <c:lblAlgn val="ctr"/>
        <c:lblOffset val="100"/>
        <c:noMultiLvlLbl val="0"/>
      </c:catAx>
      <c:valAx>
        <c:axId val="1376535920"/>
        <c:scaling>
          <c:orientation val="minMax"/>
        </c:scaling>
        <c:delete val="1"/>
        <c:axPos val="l"/>
        <c:numFmt formatCode="#,##0.00" sourceLinked="1"/>
        <c:majorTickMark val="none"/>
        <c:minorTickMark val="none"/>
        <c:tickLblPos val="nextTo"/>
        <c:crossAx val="156435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Dashboard!$DI$5</c:f>
              <c:strCache>
                <c:ptCount val="1"/>
                <c:pt idx="0">
                  <c:v>Value</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9BEF-4585-B5D0-115F633C738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9BEF-4585-B5D0-115F633C7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BEF-4585-B5D0-115F633C7387}"/>
              </c:ext>
            </c:extLst>
          </c:dPt>
          <c:dLbls>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9BEF-4585-B5D0-115F633C738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EF-4585-B5D0-115F633C7387}"/>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Dashboard!$DH$6:$DH$8</c:f>
              <c:strCache>
                <c:ptCount val="3"/>
                <c:pt idx="0">
                  <c:v>Claims operations (expense ratio)</c:v>
                </c:pt>
                <c:pt idx="1">
                  <c:v>Underwriting (loss ratio)</c:v>
                </c:pt>
                <c:pt idx="2">
                  <c:v>BFDL distribution (renewal)</c:v>
                </c:pt>
              </c:strCache>
            </c:strRef>
          </c:cat>
          <c:val>
            <c:numRef>
              <c:f>Dashboard!$DI$6:$DI$8</c:f>
              <c:numCache>
                <c:formatCode>#,##0.00</c:formatCode>
                <c:ptCount val="3"/>
                <c:pt idx="0">
                  <c:v>40.46582610854685</c:v>
                </c:pt>
                <c:pt idx="1">
                  <c:v>39.142942629294744</c:v>
                </c:pt>
                <c:pt idx="2">
                  <c:v>0.96007586347555574</c:v>
                </c:pt>
              </c:numCache>
            </c:numRef>
          </c:val>
          <c:extLst>
            <c:ext xmlns:c16="http://schemas.microsoft.com/office/drawing/2014/chart" uri="{C3380CC4-5D6E-409C-BE32-E72D297353CC}">
              <c16:uniqueId val="{00000000-9BEF-4585-B5D0-115F633C73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D3B-464A-9520-A9106CD8CCBE}"/>
              </c:ext>
            </c:extLst>
          </c:dPt>
          <c:dPt>
            <c:idx val="1"/>
            <c:invertIfNegative val="0"/>
            <c:bubble3D val="0"/>
            <c:spPr>
              <a:solidFill>
                <a:schemeClr val="tx2"/>
              </a:solidFill>
              <a:ln>
                <a:noFill/>
              </a:ln>
              <a:effectLst/>
            </c:spPr>
            <c:extLst>
              <c:ext xmlns:c16="http://schemas.microsoft.com/office/drawing/2014/chart" uri="{C3380CC4-5D6E-409C-BE32-E72D297353CC}">
                <c16:uniqueId val="{00000003-DD3B-464A-9520-A9106CD8CCBE}"/>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Dashboard!$DH$13:$DH$14</c:f>
              <c:strCache>
                <c:ptCount val="2"/>
                <c:pt idx="0">
                  <c:v>Claims auto-settled, zero human touch</c:v>
                </c:pt>
                <c:pt idx="1">
                  <c:v>Claims still reviewed by a human</c:v>
                </c:pt>
              </c:strCache>
            </c:strRef>
          </c:cat>
          <c:val>
            <c:numRef>
              <c:f>Dashboard!$DI$13:$DI$14</c:f>
              <c:numCache>
                <c:formatCode>#,##0</c:formatCode>
                <c:ptCount val="2"/>
                <c:pt idx="0">
                  <c:v>178299.80321688892</c:v>
                </c:pt>
                <c:pt idx="1">
                  <c:v>96007.586347555567</c:v>
                </c:pt>
              </c:numCache>
            </c:numRef>
          </c:val>
          <c:extLst>
            <c:ext xmlns:c16="http://schemas.microsoft.com/office/drawing/2014/chart" uri="{C3380CC4-5D6E-409C-BE32-E72D297353CC}">
              <c16:uniqueId val="{00000004-DD3B-464A-9520-A9106CD8CCBE}"/>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F8A8-458E-ADC2-145B9564CE8F}"/>
              </c:ext>
            </c:extLst>
          </c:dPt>
          <c:dPt>
            <c:idx val="1"/>
            <c:invertIfNegative val="0"/>
            <c:bubble3D val="0"/>
            <c:spPr>
              <a:solidFill>
                <a:schemeClr val="tx2"/>
              </a:solidFill>
              <a:ln>
                <a:noFill/>
              </a:ln>
              <a:effectLst/>
            </c:spPr>
            <c:extLst>
              <c:ext xmlns:c16="http://schemas.microsoft.com/office/drawing/2014/chart" uri="{C3380CC4-5D6E-409C-BE32-E72D297353CC}">
                <c16:uniqueId val="{00000003-F8A8-458E-ADC2-145B9564CE8F}"/>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Dashboard!$DH$60:$DH$61</c:f>
              <c:strCache>
                <c:ptCount val="2"/>
                <c:pt idx="0">
                  <c:v>Hours today</c:v>
                </c:pt>
                <c:pt idx="1">
                  <c:v>Hours after ClaimPulse</c:v>
                </c:pt>
              </c:strCache>
            </c:strRef>
          </c:cat>
          <c:val>
            <c:numRef>
              <c:f>Dashboard!$DI$60:$DI$61</c:f>
              <c:numCache>
                <c:formatCode>#,##0</c:formatCode>
                <c:ptCount val="2"/>
                <c:pt idx="0">
                  <c:v>640050.57565037045</c:v>
                </c:pt>
                <c:pt idx="1">
                  <c:v>112466.02972142225</c:v>
                </c:pt>
              </c:numCache>
            </c:numRef>
          </c:val>
          <c:extLst>
            <c:ext xmlns:c16="http://schemas.microsoft.com/office/drawing/2014/chart" uri="{C3380CC4-5D6E-409C-BE32-E72D297353CC}">
              <c16:uniqueId val="{00000004-F8A8-458E-ADC2-145B9564CE8F}"/>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Dashboard!$DI$26</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A3F5-4946-8C19-A95573114E99}"/>
              </c:ext>
            </c:extLst>
          </c:dPt>
          <c:dPt>
            <c:idx val="1"/>
            <c:invertIfNegative val="0"/>
            <c:bubble3D val="0"/>
            <c:spPr>
              <a:solidFill>
                <a:schemeClr val="tx2"/>
              </a:solidFill>
              <a:ln>
                <a:noFill/>
              </a:ln>
              <a:effectLst/>
            </c:spPr>
            <c:extLst>
              <c:ext xmlns:c16="http://schemas.microsoft.com/office/drawing/2014/chart" uri="{C3380CC4-5D6E-409C-BE32-E72D297353CC}">
                <c16:uniqueId val="{00000003-A3F5-4946-8C19-A95573114E99}"/>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Dashboard!$DH$27:$DH$29</c:f>
              <c:strCache>
                <c:ptCount val="3"/>
                <c:pt idx="0">
                  <c:v>Physical surveys — today</c:v>
                </c:pt>
                <c:pt idx="1">
                  <c:v>Physical surveys — ClaimPulse</c:v>
                </c:pt>
                <c:pt idx="2">
                  <c:v>Surveyor visits avoided</c:v>
                </c:pt>
              </c:strCache>
            </c:strRef>
          </c:cat>
          <c:val>
            <c:numRef>
              <c:f>Dashboard!$DI$27:$DI$29</c:f>
              <c:numCache>
                <c:formatCode>#,##0</c:formatCode>
                <c:ptCount val="3"/>
                <c:pt idx="0">
                  <c:v>150869.06426044449</c:v>
                </c:pt>
                <c:pt idx="1">
                  <c:v>27430.738956444449</c:v>
                </c:pt>
                <c:pt idx="2">
                  <c:v>123438.32530400004</c:v>
                </c:pt>
              </c:numCache>
            </c:numRef>
          </c:val>
          <c:extLst>
            <c:ext xmlns:c16="http://schemas.microsoft.com/office/drawing/2014/chart" uri="{C3380CC4-5D6E-409C-BE32-E72D297353CC}">
              <c16:uniqueId val="{00000004-A3F5-4946-8C19-A95573114E99}"/>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1B1A-447C-90DB-6D90818FA657}"/>
              </c:ext>
            </c:extLst>
          </c:dPt>
          <c:dPt>
            <c:idx val="1"/>
            <c:invertIfNegative val="0"/>
            <c:bubble3D val="0"/>
            <c:spPr>
              <a:solidFill>
                <a:schemeClr val="tx2"/>
              </a:solidFill>
              <a:ln>
                <a:noFill/>
              </a:ln>
              <a:effectLst/>
            </c:spPr>
            <c:extLst>
              <c:ext xmlns:c16="http://schemas.microsoft.com/office/drawing/2014/chart" uri="{C3380CC4-5D6E-409C-BE32-E72D297353CC}">
                <c16:uniqueId val="{00000003-1B1A-447C-90DB-6D90818FA657}"/>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Dashboard!$DH$33:$DH$35</c:f>
              <c:strCache>
                <c:ptCount val="3"/>
                <c:pt idx="0">
                  <c:v>Capture Integrity Gate build</c:v>
                </c:pt>
                <c:pt idx="1">
                  <c:v>Governance, audit and explainability build</c:v>
                </c:pt>
                <c:pt idx="2">
                  <c:v>Rest of the build</c:v>
                </c:pt>
              </c:strCache>
            </c:strRef>
          </c:cat>
          <c:val>
            <c:numRef>
              <c:f>Dashboard!$DI$33:$DI$35</c:f>
              <c:numCache>
                <c:formatCode>0.00</c:formatCode>
                <c:ptCount val="3"/>
                <c:pt idx="0">
                  <c:v>1.9148541000000003</c:v>
                </c:pt>
                <c:pt idx="1">
                  <c:v>1.0013452</c:v>
                </c:pt>
                <c:pt idx="2">
                  <c:v>6.9742705000000011</c:v>
                </c:pt>
              </c:numCache>
            </c:numRef>
          </c:val>
          <c:extLst>
            <c:ext xmlns:c16="http://schemas.microsoft.com/office/drawing/2014/chart" uri="{C3380CC4-5D6E-409C-BE32-E72D297353CC}">
              <c16:uniqueId val="{00000004-1B1A-447C-90DB-6D90818FA657}"/>
            </c:ext>
          </c:extLst>
        </c:ser>
        <c:dLbls>
          <c:showLegendKey val="0"/>
          <c:showVal val="0"/>
          <c:showCatName val="0"/>
          <c:showSerName val="0"/>
          <c:showPercent val="0"/>
          <c:showBubbleSize val="0"/>
        </c:dLbls>
        <c:gapWidth val="75"/>
        <c:axId val="1383049584"/>
        <c:axId val="1376483600"/>
      </c:barChart>
      <c:catAx>
        <c:axId val="1383049584"/>
        <c:scaling>
          <c:orientation val="minMax"/>
        </c:scaling>
        <c:delete val="1"/>
        <c:axPos val="b"/>
        <c:numFmt formatCode="General" sourceLinked="1"/>
        <c:majorTickMark val="none"/>
        <c:minorTickMark val="none"/>
        <c:tickLblPos val="nextTo"/>
        <c:crossAx val="1376483600"/>
        <c:crosses val="autoZero"/>
        <c:auto val="1"/>
        <c:lblAlgn val="ctr"/>
        <c:lblOffset val="100"/>
        <c:noMultiLvlLbl val="0"/>
      </c:catAx>
      <c:valAx>
        <c:axId val="1376483600"/>
        <c:scaling>
          <c:orientation val="minMax"/>
        </c:scaling>
        <c:delete val="1"/>
        <c:axPos val="l"/>
        <c:numFmt formatCode="0.00" sourceLinked="1"/>
        <c:majorTickMark val="none"/>
        <c:minorTickMark val="none"/>
        <c:tickLblPos val="nextTo"/>
        <c:crossAx val="138304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385C75B-BC6B-433D-AC95-F01F6A5FD1D6}" formatIdx="0">
          <cx:tx>
            <cx:txData>
              <cx:f>_xlchart.v1.1</cx:f>
              <cx:v>Value</cx:v>
            </cx:txData>
          </cx:tx>
          <cx:spPr>
            <a:solidFill>
              <a:schemeClr val="tx2"/>
            </a:solidFill>
            <a:ln>
              <a:noFill/>
            </a:ln>
          </cx:spPr>
          <cx:dataPt idx="0">
            <cx:spPr>
              <a:solidFill>
                <a:sysClr val="window" lastClr="FFFFFF">
                  <a:lumMod val="75000"/>
                </a:sysClr>
              </a:solidFill>
            </cx:spPr>
          </cx:dataPt>
          <cx:dataPt idx="1">
            <cx:spPr>
              <a:solidFill>
                <a:srgbClr val="C0504D"/>
              </a:solidFill>
            </cx:spPr>
          </cx:dataPt>
          <cx:dataLabels>
            <cx:numFmt formatCode="#,##0.00" sourceLinked="0"/>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separator>, </cx:separator>
          </cx:dataLabels>
          <cx:dataId val="0"/>
          <cx:layoutPr>
            <cx:subtotals/>
          </cx:layoutPr>
        </cx:series>
      </cx:plotAreaRegion>
      <cx:axis id="0">
        <cx:catScaling/>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xdr:rowOff>
    </xdr:from>
    <xdr:ext cx="647699" cy="584072"/>
    <xdr:pic>
      <xdr:nvPicPr>
        <xdr:cNvPr id="2" name="Picture 1">
          <a:extLst>
            <a:ext uri="{FF2B5EF4-FFF2-40B4-BE49-F238E27FC236}">
              <a16:creationId xmlns:a16="http://schemas.microsoft.com/office/drawing/2014/main" id="{DDF2F944-F9B8-44F7-A01E-C40D93080E2B}"/>
            </a:ext>
          </a:extLst>
        </xdr:cNvPr>
        <xdr:cNvPicPr>
          <a:picLocks noChangeAspect="1"/>
        </xdr:cNvPicPr>
      </xdr:nvPicPr>
      <xdr:blipFill rotWithShape="1">
        <a:blip xmlns:r="http://schemas.openxmlformats.org/officeDocument/2006/relationships" r:embed="rId1"/>
        <a:srcRect r="6167"/>
        <a:stretch>
          <a:fillRect/>
        </a:stretch>
      </xdr:blipFill>
      <xdr:spPr>
        <a:xfrm>
          <a:off x="190500" y="251460"/>
          <a:ext cx="647699" cy="584072"/>
        </a:xfrm>
        <a:prstGeom prst="rect">
          <a:avLst/>
        </a:prstGeom>
      </xdr:spPr>
    </xdr:pic>
    <xdr:clientData/>
  </xdr:oneCellAnchor>
  <xdr:twoCellAnchor>
    <xdr:from>
      <xdr:col>1</xdr:col>
      <xdr:colOff>84364</xdr:colOff>
      <xdr:row>6</xdr:row>
      <xdr:rowOff>129266</xdr:rowOff>
    </xdr:from>
    <xdr:to>
      <xdr:col>15</xdr:col>
      <xdr:colOff>95794</xdr:colOff>
      <xdr:row>8</xdr:row>
      <xdr:rowOff>97380</xdr:rowOff>
    </xdr:to>
    <xdr:sp macro="" textlink="">
      <xdr:nvSpPr>
        <xdr:cNvPr id="3" name="Rectangle: Rounded Corners 2">
          <a:extLst>
            <a:ext uri="{FF2B5EF4-FFF2-40B4-BE49-F238E27FC236}">
              <a16:creationId xmlns:a16="http://schemas.microsoft.com/office/drawing/2014/main" id="{E19CD929-8988-4855-B361-7327F44B3C37}"/>
            </a:ext>
          </a:extLst>
        </xdr:cNvPr>
        <xdr:cNvSpPr/>
      </xdr:nvSpPr>
      <xdr:spPr>
        <a:xfrm>
          <a:off x="280307"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ANNUAL</a:t>
          </a:r>
          <a:r>
            <a:rPr lang="en-IN" sz="1100" baseline="0">
              <a:latin typeface="+mj-lt"/>
            </a:rPr>
            <a:t> CLAIMS</a:t>
          </a:r>
          <a:endParaRPr lang="en-IN" sz="1100">
            <a:latin typeface="+mj-lt"/>
          </a:endParaRPr>
        </a:p>
      </xdr:txBody>
    </xdr:sp>
    <xdr:clientData/>
  </xdr:twoCellAnchor>
  <xdr:twoCellAnchor>
    <xdr:from>
      <xdr:col>20</xdr:col>
      <xdr:colOff>171450</xdr:colOff>
      <xdr:row>6</xdr:row>
      <xdr:rowOff>129266</xdr:rowOff>
    </xdr:from>
    <xdr:to>
      <xdr:col>33</xdr:col>
      <xdr:colOff>182880</xdr:colOff>
      <xdr:row>8</xdr:row>
      <xdr:rowOff>97380</xdr:rowOff>
    </xdr:to>
    <xdr:sp macro="" textlink="">
      <xdr:nvSpPr>
        <xdr:cNvPr id="10" name="Rectangle: Rounded Corners 9">
          <a:extLst>
            <a:ext uri="{FF2B5EF4-FFF2-40B4-BE49-F238E27FC236}">
              <a16:creationId xmlns:a16="http://schemas.microsoft.com/office/drawing/2014/main" id="{AFB49ED4-0139-41E9-8E26-8B98A0002161}"/>
            </a:ext>
          </a:extLst>
        </xdr:cNvPr>
        <xdr:cNvSpPr/>
      </xdr:nvSpPr>
      <xdr:spPr>
        <a:xfrm>
          <a:off x="4090307" y="1304923"/>
          <a:ext cx="2558687"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AVG.</a:t>
          </a:r>
          <a:r>
            <a:rPr lang="en-IN" sz="1100" baseline="0">
              <a:latin typeface="+mj-lt"/>
            </a:rPr>
            <a:t> TAT (DAYS)</a:t>
          </a:r>
          <a:endParaRPr lang="en-IN" sz="1100">
            <a:latin typeface="+mj-lt"/>
          </a:endParaRPr>
        </a:p>
      </xdr:txBody>
    </xdr:sp>
    <xdr:clientData/>
  </xdr:twoCellAnchor>
  <xdr:twoCellAnchor>
    <xdr:from>
      <xdr:col>25</xdr:col>
      <xdr:colOff>133350</xdr:colOff>
      <xdr:row>9</xdr:row>
      <xdr:rowOff>95250</xdr:rowOff>
    </xdr:from>
    <xdr:to>
      <xdr:col>27</xdr:col>
      <xdr:colOff>114300</xdr:colOff>
      <xdr:row>10</xdr:row>
      <xdr:rowOff>190500</xdr:rowOff>
    </xdr:to>
    <xdr:sp macro="" textlink="">
      <xdr:nvSpPr>
        <xdr:cNvPr id="11" name="Arrow: Right 10">
          <a:extLst>
            <a:ext uri="{FF2B5EF4-FFF2-40B4-BE49-F238E27FC236}">
              <a16:creationId xmlns:a16="http://schemas.microsoft.com/office/drawing/2014/main" id="{8C37CCD5-5126-AFAE-4375-9B1AEB2CC58C}"/>
            </a:ext>
          </a:extLst>
        </xdr:cNvPr>
        <xdr:cNvSpPr/>
      </xdr:nvSpPr>
      <xdr:spPr>
        <a:xfrm>
          <a:off x="5276850" y="1895475"/>
          <a:ext cx="552450"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95250</xdr:colOff>
      <xdr:row>6</xdr:row>
      <xdr:rowOff>129266</xdr:rowOff>
    </xdr:from>
    <xdr:to>
      <xdr:col>51</xdr:col>
      <xdr:colOff>106680</xdr:colOff>
      <xdr:row>8</xdr:row>
      <xdr:rowOff>97380</xdr:rowOff>
    </xdr:to>
    <xdr:sp macro="" textlink="">
      <xdr:nvSpPr>
        <xdr:cNvPr id="12" name="Rectangle: Rounded Corners 11">
          <a:extLst>
            <a:ext uri="{FF2B5EF4-FFF2-40B4-BE49-F238E27FC236}">
              <a16:creationId xmlns:a16="http://schemas.microsoft.com/office/drawing/2014/main" id="{E7AE0CA4-A6D9-46E9-85F6-80C832E03540}"/>
            </a:ext>
          </a:extLst>
        </xdr:cNvPr>
        <xdr:cNvSpPr/>
      </xdr:nvSpPr>
      <xdr:spPr>
        <a:xfrm>
          <a:off x="734513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TAT REDUCTION</a:t>
          </a:r>
        </a:p>
      </xdr:txBody>
    </xdr:sp>
    <xdr:clientData/>
  </xdr:twoCellAnchor>
  <xdr:twoCellAnchor>
    <xdr:from>
      <xdr:col>52</xdr:col>
      <xdr:colOff>85725</xdr:colOff>
      <xdr:row>6</xdr:row>
      <xdr:rowOff>129266</xdr:rowOff>
    </xdr:from>
    <xdr:to>
      <xdr:col>66</xdr:col>
      <xdr:colOff>97155</xdr:colOff>
      <xdr:row>8</xdr:row>
      <xdr:rowOff>97380</xdr:rowOff>
    </xdr:to>
    <xdr:sp macro="" textlink="">
      <xdr:nvSpPr>
        <xdr:cNvPr id="13" name="Rectangle: Rounded Corners 12">
          <a:extLst>
            <a:ext uri="{FF2B5EF4-FFF2-40B4-BE49-F238E27FC236}">
              <a16:creationId xmlns:a16="http://schemas.microsoft.com/office/drawing/2014/main" id="{B6D97D45-CF1E-43D6-A398-EB3F12C3D92E}"/>
            </a:ext>
          </a:extLst>
        </xdr:cNvPr>
        <xdr:cNvSpPr/>
      </xdr:nvSpPr>
      <xdr:spPr>
        <a:xfrm>
          <a:off x="10274754"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NET ANNUAL</a:t>
          </a:r>
          <a:r>
            <a:rPr lang="en-IN" sz="1100" baseline="0">
              <a:latin typeface="+mj-lt"/>
            </a:rPr>
            <a:t> BENEFIT</a:t>
          </a:r>
          <a:endParaRPr lang="en-IN" sz="1100">
            <a:latin typeface="+mj-lt"/>
          </a:endParaRPr>
        </a:p>
      </xdr:txBody>
    </xdr:sp>
    <xdr:clientData/>
  </xdr:twoCellAnchor>
  <xdr:twoCellAnchor>
    <xdr:from>
      <xdr:col>67</xdr:col>
      <xdr:colOff>85725</xdr:colOff>
      <xdr:row>6</xdr:row>
      <xdr:rowOff>129266</xdr:rowOff>
    </xdr:from>
    <xdr:to>
      <xdr:col>81</xdr:col>
      <xdr:colOff>97155</xdr:colOff>
      <xdr:row>8</xdr:row>
      <xdr:rowOff>97380</xdr:rowOff>
    </xdr:to>
    <xdr:sp macro="" textlink="">
      <xdr:nvSpPr>
        <xdr:cNvPr id="14" name="Rectangle: Rounded Corners 13">
          <a:extLst>
            <a:ext uri="{FF2B5EF4-FFF2-40B4-BE49-F238E27FC236}">
              <a16:creationId xmlns:a16="http://schemas.microsoft.com/office/drawing/2014/main" id="{A7AB26E4-4289-4341-B2EF-E64E6B4979CD}"/>
            </a:ext>
          </a:extLst>
        </xdr:cNvPr>
        <xdr:cNvSpPr/>
      </xdr:nvSpPr>
      <xdr:spPr>
        <a:xfrm>
          <a:off x="1321389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PAYBACK PERIOD</a:t>
          </a:r>
        </a:p>
      </xdr:txBody>
    </xdr:sp>
    <xdr:clientData/>
  </xdr:twoCellAnchor>
  <xdr:twoCellAnchor>
    <xdr:from>
      <xdr:col>82</xdr:col>
      <xdr:colOff>81280</xdr:colOff>
      <xdr:row>6</xdr:row>
      <xdr:rowOff>129266</xdr:rowOff>
    </xdr:from>
    <xdr:to>
      <xdr:col>96</xdr:col>
      <xdr:colOff>93120</xdr:colOff>
      <xdr:row>8</xdr:row>
      <xdr:rowOff>97380</xdr:rowOff>
    </xdr:to>
    <xdr:sp macro="" textlink="">
      <xdr:nvSpPr>
        <xdr:cNvPr id="15" name="Rectangle: Rounded Corners 14">
          <a:extLst>
            <a:ext uri="{FF2B5EF4-FFF2-40B4-BE49-F238E27FC236}">
              <a16:creationId xmlns:a16="http://schemas.microsoft.com/office/drawing/2014/main" id="{B5522236-0631-455B-834F-EE9B9C296A77}"/>
            </a:ext>
          </a:extLst>
        </xdr:cNvPr>
        <xdr:cNvSpPr/>
      </xdr:nvSpPr>
      <xdr:spPr>
        <a:xfrm>
          <a:off x="16148594" y="1304923"/>
          <a:ext cx="275504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MOTOR</a:t>
          </a:r>
          <a:r>
            <a:rPr lang="en-IN" sz="1100" baseline="0">
              <a:latin typeface="+mj-lt"/>
            </a:rPr>
            <a:t> OD COMBINED RATIO </a:t>
          </a:r>
          <a:endParaRPr lang="en-IN" sz="1100">
            <a:latin typeface="+mj-lt"/>
          </a:endParaRPr>
        </a:p>
      </xdr:txBody>
    </xdr:sp>
    <xdr:clientData/>
  </xdr:twoCellAnchor>
  <xdr:twoCellAnchor>
    <xdr:from>
      <xdr:col>1</xdr:col>
      <xdr:colOff>65314</xdr:colOff>
      <xdr:row>59</xdr:row>
      <xdr:rowOff>20320</xdr:rowOff>
    </xdr:from>
    <xdr:to>
      <xdr:col>38</xdr:col>
      <xdr:colOff>159656</xdr:colOff>
      <xdr:row>60</xdr:row>
      <xdr:rowOff>184377</xdr:rowOff>
    </xdr:to>
    <xdr:sp macro="" textlink="">
      <xdr:nvSpPr>
        <xdr:cNvPr id="16" name="Rectangle: Rounded Corners 15">
          <a:extLst>
            <a:ext uri="{FF2B5EF4-FFF2-40B4-BE49-F238E27FC236}">
              <a16:creationId xmlns:a16="http://schemas.microsoft.com/office/drawing/2014/main" id="{31DB48B2-F26C-4EE4-A75F-F512F3D2DA51}"/>
            </a:ext>
          </a:extLst>
        </xdr:cNvPr>
        <xdr:cNvSpPr/>
      </xdr:nvSpPr>
      <xdr:spPr>
        <a:xfrm>
          <a:off x="261257" y="11580949"/>
          <a:ext cx="7344228"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2. OPERATIONAL IMPACT</a:t>
          </a:r>
          <a:r>
            <a:rPr lang="en-IN" sz="1100" b="1">
              <a:solidFill>
                <a:schemeClr val="lt1"/>
              </a:solidFill>
              <a:effectLst/>
              <a:latin typeface="+mn-lt"/>
              <a:ea typeface="+mn-ea"/>
              <a:cs typeface="+mn-cs"/>
            </a:rPr>
            <a:t> · </a:t>
          </a:r>
          <a:r>
            <a:rPr lang="en-IN" b="1">
              <a:latin typeface="+mj-lt"/>
            </a:rPr>
            <a:t> </a:t>
          </a:r>
          <a:r>
            <a:rPr lang="en-IN" b="1" i="1">
              <a:latin typeface="+mj-lt"/>
            </a:rPr>
            <a:t>Faster turnaround, fewer manual interventions</a:t>
          </a:r>
          <a:endParaRPr lang="en-IN" sz="1100" b="1" i="1">
            <a:latin typeface="+mj-lt"/>
          </a:endParaRPr>
        </a:p>
      </xdr:txBody>
    </xdr:sp>
    <xdr:clientData/>
  </xdr:twoCellAnchor>
  <xdr:twoCellAnchor>
    <xdr:from>
      <xdr:col>3</xdr:col>
      <xdr:colOff>60960</xdr:colOff>
      <xdr:row>62</xdr:row>
      <xdr:rowOff>193040</xdr:rowOff>
    </xdr:from>
    <xdr:to>
      <xdr:col>17</xdr:col>
      <xdr:colOff>71120</xdr:colOff>
      <xdr:row>73</xdr:row>
      <xdr:rowOff>183706</xdr:rowOff>
    </xdr:to>
    <xdr:graphicFrame macro="">
      <xdr:nvGraphicFramePr>
        <xdr:cNvPr id="17" name="Chart 16">
          <a:extLst>
            <a:ext uri="{FF2B5EF4-FFF2-40B4-BE49-F238E27FC236}">
              <a16:creationId xmlns:a16="http://schemas.microsoft.com/office/drawing/2014/main" id="{F7F65B48-1EC7-1683-F7ED-DD8AE1C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81280</xdr:colOff>
      <xdr:row>62</xdr:row>
      <xdr:rowOff>193040</xdr:rowOff>
    </xdr:from>
    <xdr:to>
      <xdr:col>34</xdr:col>
      <xdr:colOff>91440</xdr:colOff>
      <xdr:row>73</xdr:row>
      <xdr:rowOff>183706</xdr:rowOff>
    </xdr:to>
    <xdr:graphicFrame macro="">
      <xdr:nvGraphicFramePr>
        <xdr:cNvPr id="21" name="Chart 20">
          <a:extLst>
            <a:ext uri="{FF2B5EF4-FFF2-40B4-BE49-F238E27FC236}">
              <a16:creationId xmlns:a16="http://schemas.microsoft.com/office/drawing/2014/main" id="{071A5078-615B-40D5-A304-7AA69A7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101600</xdr:colOff>
      <xdr:row>61</xdr:row>
      <xdr:rowOff>121920</xdr:rowOff>
    </xdr:from>
    <xdr:to>
      <xdr:col>52</xdr:col>
      <xdr:colOff>182880</xdr:colOff>
      <xdr:row>74</xdr:row>
      <xdr:rowOff>20320</xdr:rowOff>
    </xdr:to>
    <xdr:graphicFrame macro="">
      <xdr:nvGraphicFramePr>
        <xdr:cNvPr id="23" name="Chart 22">
          <a:extLst>
            <a:ext uri="{FF2B5EF4-FFF2-40B4-BE49-F238E27FC236}">
              <a16:creationId xmlns:a16="http://schemas.microsoft.com/office/drawing/2014/main" id="{97D3F72E-1779-3693-EC6B-D21A342D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111760</xdr:colOff>
      <xdr:row>59</xdr:row>
      <xdr:rowOff>20320</xdr:rowOff>
    </xdr:from>
    <xdr:to>
      <xdr:col>83</xdr:col>
      <xdr:colOff>50800</xdr:colOff>
      <xdr:row>60</xdr:row>
      <xdr:rowOff>184377</xdr:rowOff>
    </xdr:to>
    <xdr:sp macro="" textlink="">
      <xdr:nvSpPr>
        <xdr:cNvPr id="24" name="Rectangle: Rounded Corners 23">
          <a:extLst>
            <a:ext uri="{FF2B5EF4-FFF2-40B4-BE49-F238E27FC236}">
              <a16:creationId xmlns:a16="http://schemas.microsoft.com/office/drawing/2014/main" id="{CA562E46-A7B6-41E6-994F-ACE3B7646DE3}"/>
            </a:ext>
          </a:extLst>
        </xdr:cNvPr>
        <xdr:cNvSpPr/>
      </xdr:nvSpPr>
      <xdr:spPr>
        <a:xfrm>
          <a:off x="10692674" y="11580949"/>
          <a:ext cx="5621383"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3. FINANCIAL IMPACT</a:t>
          </a:r>
          <a:r>
            <a:rPr lang="en-IN" sz="1100" b="1">
              <a:solidFill>
                <a:schemeClr val="lt1"/>
              </a:solidFill>
              <a:effectLst/>
              <a:latin typeface="+mn-lt"/>
              <a:ea typeface="+mn-ea"/>
              <a:cs typeface="+mn-cs"/>
            </a:rPr>
            <a:t> · </a:t>
          </a:r>
          <a:r>
            <a:rPr lang="en-IN" b="1">
              <a:latin typeface="+mj-lt"/>
            </a:rPr>
            <a:t> </a:t>
          </a:r>
          <a:r>
            <a:rPr lang="en-IN" b="1" i="1">
              <a:latin typeface="+mj-lt"/>
            </a:rPr>
            <a:t>Where ClaimPulse creates value</a:t>
          </a:r>
          <a:endParaRPr lang="en-IN" sz="1100" b="1" i="1">
            <a:latin typeface="+mj-lt"/>
          </a:endParaRPr>
        </a:p>
      </xdr:txBody>
    </xdr:sp>
    <xdr:clientData/>
  </xdr:twoCellAnchor>
  <xdr:twoCellAnchor>
    <xdr:from>
      <xdr:col>55</xdr:col>
      <xdr:colOff>182880</xdr:colOff>
      <xdr:row>62</xdr:row>
      <xdr:rowOff>111760</xdr:rowOff>
    </xdr:from>
    <xdr:to>
      <xdr:col>96</xdr:col>
      <xdr:colOff>0</xdr:colOff>
      <xdr:row>78</xdr:row>
      <xdr:rowOff>132080</xdr:rowOff>
    </xdr:to>
    <xdr:graphicFrame macro="">
      <xdr:nvGraphicFramePr>
        <xdr:cNvPr id="25" name="Chart 24">
          <a:extLst>
            <a:ext uri="{FF2B5EF4-FFF2-40B4-BE49-F238E27FC236}">
              <a16:creationId xmlns:a16="http://schemas.microsoft.com/office/drawing/2014/main" id="{810EEF9E-BDF4-1215-E3E3-1C196A81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162560</xdr:colOff>
      <xdr:row>81</xdr:row>
      <xdr:rowOff>132080</xdr:rowOff>
    </xdr:from>
    <xdr:to>
      <xdr:col>95</xdr:col>
      <xdr:colOff>180960</xdr:colOff>
      <xdr:row>95</xdr:row>
      <xdr:rowOff>30480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63FA190-1273-F0C3-DC3B-673278DF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0060" y="16179800"/>
              <a:ext cx="76384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65314</xdr:colOff>
      <xdr:row>77</xdr:row>
      <xdr:rowOff>40640</xdr:rowOff>
    </xdr:from>
    <xdr:to>
      <xdr:col>38</xdr:col>
      <xdr:colOff>159656</xdr:colOff>
      <xdr:row>79</xdr:row>
      <xdr:rowOff>8754</xdr:rowOff>
    </xdr:to>
    <xdr:sp macro="" textlink="">
      <xdr:nvSpPr>
        <xdr:cNvPr id="29" name="Rectangle: Rounded Corners 28">
          <a:extLst>
            <a:ext uri="{FF2B5EF4-FFF2-40B4-BE49-F238E27FC236}">
              <a16:creationId xmlns:a16="http://schemas.microsoft.com/office/drawing/2014/main" id="{77F34744-FB16-4C03-BF0C-93A0ED3C3FEB}"/>
            </a:ext>
          </a:extLst>
        </xdr:cNvPr>
        <xdr:cNvSpPr/>
      </xdr:nvSpPr>
      <xdr:spPr>
        <a:xfrm>
          <a:off x="261257" y="15128240"/>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4. INVESTMENT CASE </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b="1" i="1">
              <a:latin typeface="+mj-lt"/>
            </a:rPr>
            <a:t>Is the investment financially attractive?</a:t>
          </a:r>
          <a:endParaRPr lang="en-IN" sz="1100" b="1" i="1">
            <a:latin typeface="+mj-lt"/>
          </a:endParaRPr>
        </a:p>
      </xdr:txBody>
    </xdr:sp>
    <xdr:clientData/>
  </xdr:twoCellAnchor>
  <xdr:twoCellAnchor>
    <xdr:from>
      <xdr:col>17</xdr:col>
      <xdr:colOff>50800</xdr:colOff>
      <xdr:row>81</xdr:row>
      <xdr:rowOff>30480</xdr:rowOff>
    </xdr:from>
    <xdr:to>
      <xdr:col>52</xdr:col>
      <xdr:colOff>91440</xdr:colOff>
      <xdr:row>96</xdr:row>
      <xdr:rowOff>193040</xdr:rowOff>
    </xdr:to>
    <xdr:graphicFrame macro="">
      <xdr:nvGraphicFramePr>
        <xdr:cNvPr id="30" name="Chart 29">
          <a:extLst>
            <a:ext uri="{FF2B5EF4-FFF2-40B4-BE49-F238E27FC236}">
              <a16:creationId xmlns:a16="http://schemas.microsoft.com/office/drawing/2014/main" id="{23A3D210-19F6-FCFE-12C2-2701BF006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65313</xdr:colOff>
      <xdr:row>14</xdr:row>
      <xdr:rowOff>10886</xdr:rowOff>
    </xdr:from>
    <xdr:to>
      <xdr:col>38</xdr:col>
      <xdr:colOff>159655</xdr:colOff>
      <xdr:row>15</xdr:row>
      <xdr:rowOff>163285</xdr:rowOff>
    </xdr:to>
    <xdr:sp macro="" textlink="">
      <xdr:nvSpPr>
        <xdr:cNvPr id="7" name="Rectangle: Rounded Corners 6">
          <a:extLst>
            <a:ext uri="{FF2B5EF4-FFF2-40B4-BE49-F238E27FC236}">
              <a16:creationId xmlns:a16="http://schemas.microsoft.com/office/drawing/2014/main" id="{081319C6-5CDE-4311-8471-25CF0A69612E}"/>
            </a:ext>
          </a:extLst>
        </xdr:cNvPr>
        <xdr:cNvSpPr/>
      </xdr:nvSpPr>
      <xdr:spPr>
        <a:xfrm>
          <a:off x="261256" y="2754086"/>
          <a:ext cx="7344228" cy="34834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1. STAKEHOLDER IMPACT </a:t>
          </a:r>
          <a:r>
            <a:rPr lang="en-IN" sz="1100" b="1">
              <a:solidFill>
                <a:schemeClr val="lt1"/>
              </a:solidFill>
              <a:effectLst/>
              <a:latin typeface="+mn-lt"/>
              <a:ea typeface="+mn-ea"/>
              <a:cs typeface="+mn-cs"/>
            </a:rPr>
            <a:t> · </a:t>
          </a:r>
          <a:r>
            <a:rPr lang="en-IN" b="1">
              <a:latin typeface="+mj-lt"/>
            </a:rPr>
            <a:t> </a:t>
          </a:r>
          <a:r>
            <a:rPr lang="en-IN" b="1" i="1">
              <a:latin typeface="+mj-lt"/>
            </a:rPr>
            <a:t>Who is affected, and by how much</a:t>
          </a:r>
          <a:endParaRPr lang="en-IN" sz="1100" b="1" i="1">
            <a:latin typeface="+mj-lt"/>
          </a:endParaRPr>
        </a:p>
      </xdr:txBody>
    </xdr:sp>
    <xdr:clientData/>
  </xdr:twoCellAnchor>
  <xdr:twoCellAnchor>
    <xdr:from>
      <xdr:col>2</xdr:col>
      <xdr:colOff>152399</xdr:colOff>
      <xdr:row>18</xdr:row>
      <xdr:rowOff>76202</xdr:rowOff>
    </xdr:from>
    <xdr:to>
      <xdr:col>28</xdr:col>
      <xdr:colOff>108856</xdr:colOff>
      <xdr:row>32</xdr:row>
      <xdr:rowOff>76202</xdr:rowOff>
    </xdr:to>
    <xdr:graphicFrame macro="">
      <xdr:nvGraphicFramePr>
        <xdr:cNvPr id="4" name="Chart 3">
          <a:extLst>
            <a:ext uri="{FF2B5EF4-FFF2-40B4-BE49-F238E27FC236}">
              <a16:creationId xmlns:a16="http://schemas.microsoft.com/office/drawing/2014/main" id="{33409991-EFDE-E5FC-E26C-518E42B4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97972</xdr:colOff>
      <xdr:row>21</xdr:row>
      <xdr:rowOff>32656</xdr:rowOff>
    </xdr:from>
    <xdr:to>
      <xdr:col>56</xdr:col>
      <xdr:colOff>13854</xdr:colOff>
      <xdr:row>33</xdr:row>
      <xdr:rowOff>43543</xdr:rowOff>
    </xdr:to>
    <xdr:graphicFrame macro="">
      <xdr:nvGraphicFramePr>
        <xdr:cNvPr id="6" name="Chart 5">
          <a:extLst>
            <a:ext uri="{FF2B5EF4-FFF2-40B4-BE49-F238E27FC236}">
              <a16:creationId xmlns:a16="http://schemas.microsoft.com/office/drawing/2014/main" id="{4C0D55EA-CAF5-4805-83A7-18213CEF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128650</xdr:colOff>
      <xdr:row>19</xdr:row>
      <xdr:rowOff>136568</xdr:rowOff>
    </xdr:from>
    <xdr:to>
      <xdr:col>95</xdr:col>
      <xdr:colOff>55418</xdr:colOff>
      <xdr:row>33</xdr:row>
      <xdr:rowOff>71253</xdr:rowOff>
    </xdr:to>
    <xdr:graphicFrame macro="">
      <xdr:nvGraphicFramePr>
        <xdr:cNvPr id="8" name="Chart 7">
          <a:extLst>
            <a:ext uri="{FF2B5EF4-FFF2-40B4-BE49-F238E27FC236}">
              <a16:creationId xmlns:a16="http://schemas.microsoft.com/office/drawing/2014/main" id="{BD1C8AB3-BA1C-4383-ABC3-C2C731B9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38</xdr:row>
      <xdr:rowOff>0</xdr:rowOff>
    </xdr:from>
    <xdr:to>
      <xdr:col>60</xdr:col>
      <xdr:colOff>163285</xdr:colOff>
      <xdr:row>57</xdr:row>
      <xdr:rowOff>0</xdr:rowOff>
    </xdr:to>
    <xdr:graphicFrame macro="">
      <xdr:nvGraphicFramePr>
        <xdr:cNvPr id="9" name="Chart 8">
          <a:extLst>
            <a:ext uri="{FF2B5EF4-FFF2-40B4-BE49-F238E27FC236}">
              <a16:creationId xmlns:a16="http://schemas.microsoft.com/office/drawing/2014/main" id="{7813EB98-CBB4-48F4-8579-67E22CC7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188322</xdr:colOff>
      <xdr:row>38</xdr:row>
      <xdr:rowOff>21771</xdr:rowOff>
    </xdr:from>
    <xdr:to>
      <xdr:col>95</xdr:col>
      <xdr:colOff>130629</xdr:colOff>
      <xdr:row>57</xdr:row>
      <xdr:rowOff>0</xdr:rowOff>
    </xdr:to>
    <xdr:graphicFrame macro="">
      <xdr:nvGraphicFramePr>
        <xdr:cNvPr id="18" name="Chart 17">
          <a:extLst>
            <a:ext uri="{FF2B5EF4-FFF2-40B4-BE49-F238E27FC236}">
              <a16:creationId xmlns:a16="http://schemas.microsoft.com/office/drawing/2014/main" id="{591F9807-8917-435B-9306-3D94E673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65314</xdr:colOff>
      <xdr:row>99</xdr:row>
      <xdr:rowOff>65315</xdr:rowOff>
    </xdr:from>
    <xdr:to>
      <xdr:col>38</xdr:col>
      <xdr:colOff>159656</xdr:colOff>
      <xdr:row>101</xdr:row>
      <xdr:rowOff>33429</xdr:rowOff>
    </xdr:to>
    <xdr:sp macro="" textlink="">
      <xdr:nvSpPr>
        <xdr:cNvPr id="5" name="Rectangle: Rounded Corners 4">
          <a:extLst>
            <a:ext uri="{FF2B5EF4-FFF2-40B4-BE49-F238E27FC236}">
              <a16:creationId xmlns:a16="http://schemas.microsoft.com/office/drawing/2014/main" id="{8152FB38-C28F-42F8-98BA-F8A4C71B07EC}"/>
            </a:ext>
          </a:extLst>
        </xdr:cNvPr>
        <xdr:cNvSpPr/>
      </xdr:nvSpPr>
      <xdr:spPr>
        <a:xfrm>
          <a:off x="261257" y="19463658"/>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5. STRESS THE MODEL  ·  </a:t>
          </a:r>
          <a:r>
            <a:rPr lang="en-IN" b="1" i="1">
              <a:latin typeface="+mj-lt"/>
            </a:rPr>
            <a:t>change any lever below and the entire dashboard moves</a:t>
          </a:r>
          <a:endParaRPr lang="en-IN" sz="1100" b="1" i="1">
            <a:latin typeface="+mj-lt"/>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60"/>
  <sheetViews>
    <sheetView showGridLines="0" tabSelected="1" zoomScaleNormal="100" workbookViewId="0"/>
  </sheetViews>
  <sheetFormatPr defaultColWidth="8.6640625" defaultRowHeight="11.4" x14ac:dyDescent="0.2"/>
  <cols>
    <col min="1" max="1" width="2" style="137" customWidth="1"/>
    <col min="2" max="2" width="11" style="137" customWidth="1"/>
    <col min="3" max="3" width="46" style="137" customWidth="1"/>
    <col min="4" max="6" width="15" style="137" customWidth="1"/>
    <col min="7" max="7" width="62" style="137" customWidth="1"/>
    <col min="8" max="16384" width="8.6640625" style="137"/>
  </cols>
  <sheetData>
    <row r="2" spans="2:7" ht="15" x14ac:dyDescent="0.25">
      <c r="B2" s="149" t="s">
        <v>0</v>
      </c>
      <c r="C2" s="149"/>
      <c r="D2" s="149"/>
      <c r="E2" s="149"/>
      <c r="F2" s="149"/>
      <c r="G2" s="149"/>
    </row>
    <row r="3" spans="2:7" ht="16.05" customHeight="1" x14ac:dyDescent="0.2">
      <c r="B3" s="150" t="s">
        <v>1</v>
      </c>
      <c r="C3" s="150"/>
      <c r="D3" s="150"/>
      <c r="E3" s="150"/>
      <c r="F3" s="150"/>
      <c r="G3" s="150"/>
    </row>
    <row r="4" spans="2:7" ht="16.05" customHeight="1" x14ac:dyDescent="0.2">
      <c r="B4" s="151" t="s">
        <v>2</v>
      </c>
      <c r="C4" s="151"/>
      <c r="D4" s="151"/>
      <c r="E4" s="151"/>
      <c r="F4" s="151"/>
      <c r="G4" s="151"/>
    </row>
    <row r="5" spans="2:7" ht="16.05" customHeight="1" x14ac:dyDescent="0.2"/>
    <row r="6" spans="2:7" ht="16.05" customHeight="1" x14ac:dyDescent="0.2">
      <c r="B6" s="152" t="s">
        <v>3</v>
      </c>
      <c r="C6" s="152"/>
      <c r="D6" s="152"/>
      <c r="E6" s="152"/>
      <c r="F6" s="152"/>
      <c r="G6" s="152"/>
    </row>
    <row r="7" spans="2:7" ht="16.05" customHeight="1" x14ac:dyDescent="0.2">
      <c r="B7" s="2" t="s">
        <v>4</v>
      </c>
      <c r="C7" s="2" t="s">
        <v>5</v>
      </c>
      <c r="D7" s="2" t="s">
        <v>6</v>
      </c>
      <c r="E7" s="2"/>
      <c r="F7" s="2"/>
      <c r="G7" s="2" t="s">
        <v>7</v>
      </c>
    </row>
    <row r="8" spans="2:7" ht="16.05" customHeight="1" x14ac:dyDescent="0.2">
      <c r="B8" s="134" t="s">
        <v>8</v>
      </c>
      <c r="C8" s="135" t="s">
        <v>9</v>
      </c>
      <c r="D8" s="136">
        <f>'3. Workings'!$D$55</f>
        <v>9.8904698000000018</v>
      </c>
      <c r="E8" s="136"/>
      <c r="F8" s="136"/>
      <c r="G8" s="135" t="s">
        <v>10</v>
      </c>
    </row>
    <row r="9" spans="2:7" ht="16.05" customHeight="1" x14ac:dyDescent="0.2">
      <c r="B9" s="134" t="s">
        <v>11</v>
      </c>
      <c r="C9" s="135" t="s">
        <v>12</v>
      </c>
      <c r="D9" s="136">
        <f>'5. Investor Metrics'!$E$36</f>
        <v>11.374040270000002</v>
      </c>
      <c r="E9" s="136"/>
      <c r="F9" s="136"/>
      <c r="G9" s="135" t="s">
        <v>13</v>
      </c>
    </row>
    <row r="10" spans="2:7" ht="16.05" customHeight="1" x14ac:dyDescent="0.2">
      <c r="B10" s="134" t="s">
        <v>14</v>
      </c>
      <c r="C10" s="135" t="s">
        <v>15</v>
      </c>
      <c r="D10" s="136">
        <f>'3. Workings'!$E$65</f>
        <v>3.9006065337252656</v>
      </c>
      <c r="E10" s="136"/>
      <c r="F10" s="136"/>
      <c r="G10" s="135" t="s">
        <v>16</v>
      </c>
    </row>
    <row r="11" spans="2:7" ht="16.05" customHeight="1" x14ac:dyDescent="0.2">
      <c r="B11" s="134" t="s">
        <v>17</v>
      </c>
      <c r="C11" s="135" t="s">
        <v>18</v>
      </c>
      <c r="D11" s="136">
        <f>'5. Investor Metrics'!$C$51</f>
        <v>22.639871397331859</v>
      </c>
      <c r="E11" s="136"/>
      <c r="F11" s="136"/>
      <c r="G11" s="135" t="s">
        <v>19</v>
      </c>
    </row>
    <row r="12" spans="2:7" ht="16.05" customHeight="1" x14ac:dyDescent="0.2">
      <c r="B12" s="153" t="s">
        <v>20</v>
      </c>
      <c r="C12" s="153"/>
      <c r="D12" s="153"/>
      <c r="E12" s="153"/>
      <c r="F12" s="153"/>
      <c r="G12" s="153"/>
    </row>
    <row r="13" spans="2:7" ht="16.05" customHeight="1" x14ac:dyDescent="0.2"/>
    <row r="14" spans="2:7" ht="16.05" customHeight="1" x14ac:dyDescent="0.2">
      <c r="B14" s="152" t="s">
        <v>21</v>
      </c>
      <c r="C14" s="152"/>
      <c r="D14" s="152"/>
      <c r="E14" s="152"/>
      <c r="F14" s="152"/>
      <c r="G14" s="152"/>
    </row>
    <row r="15" spans="2:7" ht="16.05" customHeight="1" x14ac:dyDescent="0.2">
      <c r="B15" s="2" t="s">
        <v>4</v>
      </c>
      <c r="C15" s="2" t="s">
        <v>22</v>
      </c>
      <c r="D15" s="2" t="s">
        <v>23</v>
      </c>
      <c r="E15" s="2" t="s">
        <v>24</v>
      </c>
      <c r="F15" s="2" t="s">
        <v>25</v>
      </c>
      <c r="G15" s="2" t="s">
        <v>26</v>
      </c>
    </row>
    <row r="16" spans="2:7" ht="16.05" customHeight="1" x14ac:dyDescent="0.2">
      <c r="B16" s="134" t="s">
        <v>27</v>
      </c>
      <c r="C16" s="135" t="s">
        <v>28</v>
      </c>
      <c r="D16" s="138">
        <f>'3. Workings'!$D$12</f>
        <v>0.2</v>
      </c>
      <c r="E16" s="138">
        <f>'3. Workings'!$E$12</f>
        <v>0.6</v>
      </c>
      <c r="F16" s="138">
        <f>'3. Workings'!$F$12</f>
        <v>1</v>
      </c>
      <c r="G16" s="135" t="s">
        <v>29</v>
      </c>
    </row>
    <row r="17" spans="2:7" ht="16.05" customHeight="1" x14ac:dyDescent="0.2">
      <c r="B17" s="139" t="s">
        <v>30</v>
      </c>
      <c r="C17" s="140" t="s">
        <v>31</v>
      </c>
      <c r="D17" s="141">
        <f>'3. Workings'!$D$71</f>
        <v>12.850090035831915</v>
      </c>
      <c r="E17" s="141">
        <f>'3. Workings'!$E$71</f>
        <v>43.310005167280394</v>
      </c>
      <c r="F17" s="141">
        <f>'3. Workings'!$F$71</f>
        <v>75.277513711775043</v>
      </c>
      <c r="G17" s="140" t="s">
        <v>32</v>
      </c>
    </row>
    <row r="18" spans="2:7" ht="16.05" customHeight="1" x14ac:dyDescent="0.2">
      <c r="B18" s="139" t="s">
        <v>33</v>
      </c>
      <c r="C18" s="140" t="s">
        <v>34</v>
      </c>
      <c r="D18" s="142">
        <f>'4. Forecast'!$D$50</f>
        <v>27.213630202605518</v>
      </c>
      <c r="E18" s="142">
        <f>'4. Forecast'!$E$50</f>
        <v>16.842970651161341</v>
      </c>
      <c r="F18" s="142">
        <f>'4. Forecast'!$F$50</f>
        <v>13.832939843950562</v>
      </c>
      <c r="G18" s="140" t="s">
        <v>35</v>
      </c>
    </row>
    <row r="19" spans="2:7" ht="16.05" customHeight="1" x14ac:dyDescent="0.2">
      <c r="B19" s="134" t="s">
        <v>36</v>
      </c>
      <c r="C19" s="135" t="s">
        <v>37</v>
      </c>
      <c r="D19" s="136">
        <f>'5. Investor Metrics'!$D$28</f>
        <v>35.585967342804246</v>
      </c>
      <c r="E19" s="136">
        <f>'5. Investor Metrics'!$E$28</f>
        <v>145.93821384228556</v>
      </c>
      <c r="F19" s="136">
        <f>'5. Investor Metrics'!$F$28</f>
        <v>261.79084570060741</v>
      </c>
      <c r="G19" s="135" t="s">
        <v>38</v>
      </c>
    </row>
    <row r="20" spans="2:7" ht="16.05" customHeight="1" x14ac:dyDescent="0.2">
      <c r="B20" s="134" t="s">
        <v>39</v>
      </c>
      <c r="C20" s="135" t="s">
        <v>40</v>
      </c>
      <c r="D20" s="143">
        <f>'3. Workings'!$D$82</f>
        <v>0.76499124762461923</v>
      </c>
      <c r="E20" s="143">
        <f>'3. Workings'!$E$82</f>
        <v>2.5826285166934659</v>
      </c>
      <c r="F20" s="143">
        <f>'3. Workings'!$F$82</f>
        <v>4.491377252428979</v>
      </c>
      <c r="G20" s="135" t="s">
        <v>41</v>
      </c>
    </row>
    <row r="21" spans="2:7" ht="16.05" customHeight="1" x14ac:dyDescent="0.2">
      <c r="B21" s="134" t="s">
        <v>42</v>
      </c>
      <c r="C21" s="135" t="s">
        <v>43</v>
      </c>
      <c r="D21" s="143">
        <f>'3. Workings'!$D$24</f>
        <v>8.3820000000000014</v>
      </c>
      <c r="E21" s="143">
        <f>'3. Workings'!$E$24</f>
        <v>5.5460000000000003</v>
      </c>
      <c r="F21" s="143">
        <f>'3. Workings'!$F$24</f>
        <v>2.7100000000000004</v>
      </c>
      <c r="G21" s="135" t="s">
        <v>44</v>
      </c>
    </row>
    <row r="22" spans="2:7" ht="16.05" customHeight="1" x14ac:dyDescent="0.2">
      <c r="B22" s="134" t="s">
        <v>45</v>
      </c>
      <c r="C22" s="135" t="s">
        <v>46</v>
      </c>
      <c r="D22" s="144">
        <f>'5. Investor Metrics'!$D$9</f>
        <v>369</v>
      </c>
      <c r="E22" s="144">
        <f>'5. Investor Metrics'!$E$9</f>
        <v>307.5</v>
      </c>
      <c r="F22" s="144">
        <f>'5. Investor Metrics'!$F$9</f>
        <v>246</v>
      </c>
      <c r="G22" s="135" t="s">
        <v>47</v>
      </c>
    </row>
    <row r="23" spans="2:7" ht="16.05" customHeight="1" x14ac:dyDescent="0.2">
      <c r="B23" s="134" t="s">
        <v>48</v>
      </c>
      <c r="C23" s="135" t="s">
        <v>49</v>
      </c>
      <c r="D23" s="144">
        <f>'3. Workings'!$D$113</f>
        <v>58.620505103216473</v>
      </c>
      <c r="E23" s="144">
        <f>'3. Workings'!$E$113</f>
        <v>175.86151530964938</v>
      </c>
      <c r="F23" s="144">
        <f>'3. Workings'!$F$113</f>
        <v>293.10252551608232</v>
      </c>
      <c r="G23" s="135" t="s">
        <v>50</v>
      </c>
    </row>
    <row r="24" spans="2:7" ht="16.05" customHeight="1" x14ac:dyDescent="0.2"/>
    <row r="25" spans="2:7" ht="16.05" customHeight="1" x14ac:dyDescent="0.2"/>
    <row r="26" spans="2:7" ht="16.05" customHeight="1" x14ac:dyDescent="0.2">
      <c r="B26" s="152" t="s">
        <v>51</v>
      </c>
      <c r="C26" s="152"/>
      <c r="D26" s="152"/>
      <c r="E26" s="152"/>
      <c r="F26" s="152"/>
      <c r="G26" s="152"/>
    </row>
    <row r="27" spans="2:7" ht="16.05" customHeight="1" x14ac:dyDescent="0.2">
      <c r="B27" s="2" t="s">
        <v>4</v>
      </c>
      <c r="C27" s="2" t="s">
        <v>52</v>
      </c>
      <c r="D27" s="2" t="s">
        <v>53</v>
      </c>
      <c r="E27" s="2" t="s">
        <v>54</v>
      </c>
      <c r="F27" s="2" t="s">
        <v>55</v>
      </c>
      <c r="G27" s="2" t="s">
        <v>56</v>
      </c>
    </row>
    <row r="28" spans="2:7" ht="16.05" customHeight="1" x14ac:dyDescent="0.2">
      <c r="B28" s="134" t="s">
        <v>57</v>
      </c>
      <c r="C28" s="135" t="s">
        <v>58</v>
      </c>
      <c r="D28" s="136">
        <f>'3. Workings'!$D$183</f>
        <v>43.310005167280394</v>
      </c>
      <c r="E28" s="136">
        <f>'3. Workings'!$D$190</f>
        <v>145.93821384228556</v>
      </c>
      <c r="F28" s="145">
        <f>'3. Workings'!$D$191</f>
        <v>16.842970651161341</v>
      </c>
      <c r="G28" s="135" t="s">
        <v>59</v>
      </c>
    </row>
    <row r="29" spans="2:7" ht="16.05" customHeight="1" x14ac:dyDescent="0.2">
      <c r="B29" s="134" t="s">
        <v>60</v>
      </c>
      <c r="C29" s="135" t="s">
        <v>61</v>
      </c>
      <c r="D29" s="136">
        <f>'3. Workings'!$E$183</f>
        <v>25.11450476284908</v>
      </c>
      <c r="E29" s="136">
        <f>'3. Workings'!$E$190</f>
        <v>79.552765912336412</v>
      </c>
      <c r="F29" s="145">
        <f>'3. Workings'!$E$191</f>
        <v>22.355634639660007</v>
      </c>
      <c r="G29" s="135" t="s">
        <v>62</v>
      </c>
    </row>
    <row r="30" spans="2:7" ht="16.05" customHeight="1" x14ac:dyDescent="0.2">
      <c r="B30" s="134" t="s">
        <v>63</v>
      </c>
      <c r="C30" s="135" t="s">
        <v>64</v>
      </c>
      <c r="D30" s="136">
        <f>'3. Workings'!$F$183</f>
        <v>27.245156804361113</v>
      </c>
      <c r="E30" s="136">
        <f>'3. Workings'!$F$190</f>
        <v>87.326352074560887</v>
      </c>
      <c r="F30" s="145">
        <f>'3. Workings'!$F$191</f>
        <v>21.733642165889435</v>
      </c>
      <c r="G30" s="135" t="s">
        <v>65</v>
      </c>
    </row>
    <row r="31" spans="2:7" ht="16.05" customHeight="1" x14ac:dyDescent="0.2">
      <c r="B31" s="134" t="s">
        <v>66</v>
      </c>
      <c r="C31" s="135" t="s">
        <v>67</v>
      </c>
      <c r="D31" s="136">
        <f>'3. Workings'!$G$183</f>
        <v>23.557644576072757</v>
      </c>
      <c r="E31" s="136">
        <f>'3. Workings'!$G$190</f>
        <v>74.359730205604933</v>
      </c>
      <c r="F31" s="145">
        <f>'3. Workings'!$G$191</f>
        <v>22.492879754024401</v>
      </c>
      <c r="G31" s="135" t="s">
        <v>68</v>
      </c>
    </row>
    <row r="32" spans="2:7" ht="16.05" customHeight="1" x14ac:dyDescent="0.2">
      <c r="B32" s="139" t="s">
        <v>69</v>
      </c>
      <c r="C32" s="140" t="s">
        <v>70</v>
      </c>
      <c r="D32" s="141">
        <f>'3. Workings'!$H$183</f>
        <v>4.2073584984852443</v>
      </c>
      <c r="E32" s="141">
        <f>'3. Workings'!$H$190</f>
        <v>3.761099759560103</v>
      </c>
      <c r="F32" s="142">
        <f>'3. Workings'!$H$191</f>
        <v>47.66378964302988</v>
      </c>
      <c r="G32" s="140" t="s">
        <v>71</v>
      </c>
    </row>
    <row r="33" spans="2:7" ht="16.05" customHeight="1" x14ac:dyDescent="0.2">
      <c r="B33" s="134" t="s">
        <v>72</v>
      </c>
      <c r="C33" s="135" t="s">
        <v>73</v>
      </c>
      <c r="D33" s="136">
        <f>'3. Workings'!$E$94</f>
        <v>3.7847952672487661</v>
      </c>
      <c r="E33" s="136"/>
      <c r="F33" s="145">
        <f>'3. Workings'!$E$97</f>
        <v>31.358535725044565</v>
      </c>
      <c r="G33" s="135" t="s">
        <v>74</v>
      </c>
    </row>
    <row r="34" spans="2:7" ht="16.05" customHeight="1" x14ac:dyDescent="0.2">
      <c r="B34" s="139" t="s">
        <v>75</v>
      </c>
      <c r="C34" s="140" t="s">
        <v>76</v>
      </c>
      <c r="D34" s="139" t="str">
        <f>IF(MIN('3. Workings'!$D$190,'3. Workings'!$E$190,'3. Workings'!$F$190,'3. Workings'!$G$190,'3. Workings'!$H$190)&gt;0,"PASS","REVIEW")</f>
        <v>PASS</v>
      </c>
      <c r="E34" s="139"/>
      <c r="F34" s="139"/>
      <c r="G34" s="140" t="s">
        <v>77</v>
      </c>
    </row>
    <row r="35" spans="2:7" ht="16.05" customHeight="1" x14ac:dyDescent="0.2">
      <c r="B35" s="153" t="s">
        <v>78</v>
      </c>
      <c r="C35" s="153"/>
      <c r="D35" s="153"/>
      <c r="E35" s="153"/>
      <c r="F35" s="153"/>
      <c r="G35" s="153"/>
    </row>
    <row r="36" spans="2:7" ht="16.05" customHeight="1" x14ac:dyDescent="0.2"/>
    <row r="37" spans="2:7" ht="16.05" customHeight="1" x14ac:dyDescent="0.2">
      <c r="B37" s="152" t="s">
        <v>79</v>
      </c>
      <c r="C37" s="152"/>
      <c r="D37" s="152"/>
      <c r="E37" s="152"/>
      <c r="F37" s="152"/>
      <c r="G37" s="152"/>
    </row>
    <row r="38" spans="2:7" ht="16.05" customHeight="1" x14ac:dyDescent="0.2">
      <c r="B38" s="2" t="s">
        <v>4</v>
      </c>
      <c r="C38" s="2" t="s">
        <v>80</v>
      </c>
      <c r="D38" s="2" t="s">
        <v>81</v>
      </c>
      <c r="E38" s="2"/>
      <c r="F38" s="2"/>
      <c r="G38" s="2" t="s">
        <v>82</v>
      </c>
    </row>
    <row r="39" spans="2:7" ht="16.05" customHeight="1" x14ac:dyDescent="0.2">
      <c r="B39" s="134" t="s">
        <v>83</v>
      </c>
      <c r="C39" s="135" t="s">
        <v>84</v>
      </c>
      <c r="D39" s="146">
        <f>'3. Workings'!$D$153</f>
        <v>5.78829688888889E-2</v>
      </c>
      <c r="E39" s="146"/>
      <c r="F39" s="146"/>
      <c r="G39" s="135" t="s">
        <v>85</v>
      </c>
    </row>
    <row r="40" spans="2:7" ht="16.05" customHeight="1" x14ac:dyDescent="0.2">
      <c r="B40" s="134" t="s">
        <v>86</v>
      </c>
      <c r="C40" s="135" t="s">
        <v>87</v>
      </c>
      <c r="D40" s="147" t="str">
        <f>'3. Workings'!$D$155</f>
        <v>PASS  -  inside the 5 to 15 per cent band</v>
      </c>
      <c r="E40" s="147"/>
      <c r="F40" s="147"/>
      <c r="G40" s="135" t="s">
        <v>88</v>
      </c>
    </row>
    <row r="41" spans="2:7" ht="16.05" customHeight="1" x14ac:dyDescent="0.2">
      <c r="B41" s="134" t="s">
        <v>89</v>
      </c>
      <c r="C41" s="135" t="s">
        <v>90</v>
      </c>
      <c r="D41" s="147" t="str">
        <f>IF(ABS('3. Workings'!$E$105)&lt;0.0001,"TIE","REVIEW")</f>
        <v>TIE</v>
      </c>
      <c r="E41" s="147"/>
      <c r="F41" s="147"/>
      <c r="G41" s="135" t="s">
        <v>91</v>
      </c>
    </row>
    <row r="42" spans="2:7" ht="16.05" customHeight="1" x14ac:dyDescent="0.2">
      <c r="B42" s="134" t="s">
        <v>92</v>
      </c>
      <c r="C42" s="135" t="s">
        <v>93</v>
      </c>
      <c r="D42" s="147" t="str">
        <f>'8. Scenario Simulation'!$D$14</f>
        <v>ALL SIX ANCHORS TIE  -  Part B is live against the current engine</v>
      </c>
      <c r="E42" s="147"/>
      <c r="F42" s="147"/>
      <c r="G42" s="135" t="s">
        <v>94</v>
      </c>
    </row>
    <row r="43" spans="2:7" ht="16.05" customHeight="1" x14ac:dyDescent="0.2">
      <c r="B43" s="134" t="s">
        <v>95</v>
      </c>
      <c r="C43" s="135" t="s">
        <v>96</v>
      </c>
      <c r="D43" s="146">
        <f>'1. Assumptions and Sources'!$D$8</f>
        <v>0.49880000000000002</v>
      </c>
      <c r="E43" s="146"/>
      <c r="F43" s="146"/>
      <c r="G43" s="135" t="s">
        <v>97</v>
      </c>
    </row>
    <row r="44" spans="2:7" ht="16.05" customHeight="1" x14ac:dyDescent="0.2">
      <c r="B44" s="134" t="s">
        <v>98</v>
      </c>
      <c r="C44" s="135" t="s">
        <v>99</v>
      </c>
      <c r="D44" s="136">
        <f>'3. Workings'!$G$203</f>
        <v>60.471437453232859</v>
      </c>
      <c r="E44" s="136"/>
      <c r="F44" s="136"/>
      <c r="G44" s="135" t="s">
        <v>100</v>
      </c>
    </row>
    <row r="45" spans="2:7" ht="16.05" customHeight="1" x14ac:dyDescent="0.2"/>
    <row r="46" spans="2:7" ht="16.05" customHeight="1" x14ac:dyDescent="0.2">
      <c r="B46" s="152" t="s">
        <v>101</v>
      </c>
      <c r="C46" s="152"/>
      <c r="D46" s="152"/>
      <c r="E46" s="152"/>
      <c r="F46" s="152"/>
      <c r="G46" s="152"/>
    </row>
    <row r="47" spans="2:7" ht="16.05" customHeight="1" x14ac:dyDescent="0.2">
      <c r="B47" s="2" t="s">
        <v>4</v>
      </c>
      <c r="C47" s="2" t="s">
        <v>5</v>
      </c>
      <c r="D47" s="2" t="s">
        <v>102</v>
      </c>
      <c r="E47" s="2"/>
      <c r="F47" s="2"/>
      <c r="G47" s="2" t="s">
        <v>103</v>
      </c>
    </row>
    <row r="48" spans="2:7" ht="16.05" customHeight="1" x14ac:dyDescent="0.2">
      <c r="B48" s="134" t="s">
        <v>104</v>
      </c>
      <c r="C48" s="135" t="s">
        <v>105</v>
      </c>
      <c r="D48" s="134" t="s">
        <v>106</v>
      </c>
      <c r="E48" s="134"/>
      <c r="F48" s="134"/>
      <c r="G48" s="135" t="s">
        <v>107</v>
      </c>
    </row>
    <row r="49" spans="2:7" ht="16.05" customHeight="1" x14ac:dyDescent="0.2">
      <c r="B49" s="134" t="s">
        <v>108</v>
      </c>
      <c r="C49" s="135" t="s">
        <v>109</v>
      </c>
      <c r="D49" s="134" t="s">
        <v>106</v>
      </c>
      <c r="E49" s="134"/>
      <c r="F49" s="134"/>
      <c r="G49" s="135" t="s">
        <v>110</v>
      </c>
    </row>
    <row r="50" spans="2:7" ht="16.05" customHeight="1" x14ac:dyDescent="0.2">
      <c r="B50" s="134" t="s">
        <v>111</v>
      </c>
      <c r="C50" s="135" t="s">
        <v>112</v>
      </c>
      <c r="D50" s="134" t="s">
        <v>113</v>
      </c>
      <c r="E50" s="134"/>
      <c r="F50" s="134"/>
      <c r="G50" s="135" t="s">
        <v>114</v>
      </c>
    </row>
    <row r="51" spans="2:7" ht="16.05" customHeight="1" x14ac:dyDescent="0.2">
      <c r="B51" s="134" t="s">
        <v>115</v>
      </c>
      <c r="C51" s="135" t="s">
        <v>116</v>
      </c>
      <c r="D51" s="134" t="s">
        <v>117</v>
      </c>
      <c r="E51" s="134"/>
      <c r="F51" s="134"/>
      <c r="G51" s="135" t="s">
        <v>118</v>
      </c>
    </row>
    <row r="52" spans="2:7" ht="16.05" customHeight="1" x14ac:dyDescent="0.2">
      <c r="B52" s="134" t="s">
        <v>119</v>
      </c>
      <c r="C52" s="135" t="s">
        <v>120</v>
      </c>
      <c r="D52" s="134" t="s">
        <v>106</v>
      </c>
      <c r="E52" s="134"/>
      <c r="F52" s="134"/>
      <c r="G52" s="135" t="s">
        <v>121</v>
      </c>
    </row>
    <row r="53" spans="2:7" ht="16.05" customHeight="1" x14ac:dyDescent="0.2"/>
    <row r="54" spans="2:7" ht="16.05" customHeight="1" x14ac:dyDescent="0.2">
      <c r="B54" s="2" t="s">
        <v>4</v>
      </c>
      <c r="C54" s="2" t="s">
        <v>122</v>
      </c>
      <c r="D54" s="2" t="s">
        <v>123</v>
      </c>
      <c r="E54" s="2"/>
      <c r="F54" s="2"/>
      <c r="G54" s="2" t="s">
        <v>124</v>
      </c>
    </row>
    <row r="55" spans="2:7" ht="16.05" customHeight="1" x14ac:dyDescent="0.2">
      <c r="B55" s="134" t="s">
        <v>125</v>
      </c>
      <c r="C55" s="135" t="s">
        <v>126</v>
      </c>
      <c r="D55" s="134" t="s">
        <v>127</v>
      </c>
      <c r="E55" s="134"/>
      <c r="F55" s="134"/>
      <c r="G55" s="135" t="s">
        <v>128</v>
      </c>
    </row>
    <row r="56" spans="2:7" ht="16.05" customHeight="1" x14ac:dyDescent="0.2">
      <c r="B56" s="134" t="s">
        <v>129</v>
      </c>
      <c r="C56" s="135" t="s">
        <v>130</v>
      </c>
      <c r="D56" s="134" t="s">
        <v>131</v>
      </c>
      <c r="E56" s="134"/>
      <c r="F56" s="134"/>
      <c r="G56" s="135" t="s">
        <v>132</v>
      </c>
    </row>
    <row r="57" spans="2:7" ht="16.05" customHeight="1" x14ac:dyDescent="0.2">
      <c r="B57" s="134" t="s">
        <v>133</v>
      </c>
      <c r="C57" s="135" t="s">
        <v>134</v>
      </c>
      <c r="D57" s="134" t="s">
        <v>135</v>
      </c>
      <c r="E57" s="134"/>
      <c r="F57" s="134"/>
      <c r="G57" s="135" t="s">
        <v>136</v>
      </c>
    </row>
    <row r="58" spans="2:7" ht="16.05" customHeight="1" x14ac:dyDescent="0.2">
      <c r="B58" s="134" t="s">
        <v>137</v>
      </c>
      <c r="C58" s="135" t="s">
        <v>138</v>
      </c>
      <c r="D58" s="134" t="s">
        <v>139</v>
      </c>
      <c r="E58" s="134"/>
      <c r="F58" s="134"/>
      <c r="G58" s="135" t="s">
        <v>140</v>
      </c>
    </row>
    <row r="59" spans="2:7" ht="16.05" customHeight="1" x14ac:dyDescent="0.2"/>
    <row r="60" spans="2:7" ht="16.05" customHeight="1" x14ac:dyDescent="0.2">
      <c r="B60" s="153" t="s">
        <v>141</v>
      </c>
      <c r="C60" s="153"/>
      <c r="D60" s="153"/>
      <c r="E60" s="153"/>
      <c r="F60" s="153"/>
      <c r="G60" s="153"/>
    </row>
  </sheetData>
  <mergeCells count="11">
    <mergeCell ref="B60:G60"/>
    <mergeCell ref="B14:G14"/>
    <mergeCell ref="B26:G26"/>
    <mergeCell ref="B35:G35"/>
    <mergeCell ref="B37:G37"/>
    <mergeCell ref="B46:G46"/>
    <mergeCell ref="B2:G2"/>
    <mergeCell ref="B3:G3"/>
    <mergeCell ref="B4:G4"/>
    <mergeCell ref="B6:G6"/>
    <mergeCell ref="B12:G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B2:E42"/>
  <sheetViews>
    <sheetView showGridLines="0" zoomScale="90" zoomScaleNormal="90" workbookViewId="0"/>
  </sheetViews>
  <sheetFormatPr defaultColWidth="8.6640625" defaultRowHeight="13.8" x14ac:dyDescent="0.25"/>
  <cols>
    <col min="1" max="1" width="8.6640625" style="1"/>
    <col min="2" max="2" width="32" style="1" customWidth="1"/>
    <col min="3" max="3" width="26" style="1" customWidth="1"/>
    <col min="4" max="4" width="92" style="1" customWidth="1"/>
    <col min="5" max="5" width="40" style="1" customWidth="1"/>
    <col min="6" max="16384" width="8.6640625" style="1"/>
  </cols>
  <sheetData>
    <row r="2" spans="2:5" ht="16.05" customHeight="1" x14ac:dyDescent="0.25">
      <c r="B2" s="148" t="s">
        <v>302</v>
      </c>
      <c r="C2" s="148"/>
      <c r="D2" s="148"/>
      <c r="E2" s="148"/>
    </row>
    <row r="3" spans="2:5" ht="16.05" customHeight="1" x14ac:dyDescent="0.25">
      <c r="B3" s="58" t="s">
        <v>303</v>
      </c>
    </row>
    <row r="4" spans="2:5" ht="16.05" customHeight="1" x14ac:dyDescent="0.25">
      <c r="B4" s="58" t="s">
        <v>304</v>
      </c>
    </row>
    <row r="5" spans="2:5" ht="16.05" customHeight="1" x14ac:dyDescent="0.25">
      <c r="B5" s="58" t="s">
        <v>305</v>
      </c>
    </row>
    <row r="6" spans="2:5" ht="16.05" customHeight="1" x14ac:dyDescent="0.25"/>
    <row r="7" spans="2:5" ht="16.05" customHeight="1" x14ac:dyDescent="0.25">
      <c r="B7" s="148" t="s">
        <v>306</v>
      </c>
      <c r="C7" s="148"/>
      <c r="D7" s="148"/>
      <c r="E7" s="148"/>
    </row>
    <row r="8" spans="2:5" ht="16.05" customHeight="1" x14ac:dyDescent="0.25">
      <c r="B8" s="60" t="s">
        <v>307</v>
      </c>
      <c r="C8" s="60" t="s">
        <v>308</v>
      </c>
      <c r="D8" s="60" t="s">
        <v>309</v>
      </c>
      <c r="E8" s="60" t="s">
        <v>310</v>
      </c>
    </row>
    <row r="9" spans="2:5" ht="16.05" customHeight="1" x14ac:dyDescent="0.25">
      <c r="B9" s="61" t="s">
        <v>311</v>
      </c>
      <c r="C9" s="62" t="s">
        <v>312</v>
      </c>
      <c r="D9" s="62" t="s">
        <v>313</v>
      </c>
      <c r="E9" s="62" t="s">
        <v>314</v>
      </c>
    </row>
    <row r="10" spans="2:5" ht="16.05" customHeight="1" x14ac:dyDescent="0.25">
      <c r="B10" s="61" t="s">
        <v>315</v>
      </c>
      <c r="C10" s="62" t="s">
        <v>316</v>
      </c>
      <c r="D10" s="62" t="s">
        <v>317</v>
      </c>
      <c r="E10" s="62" t="s">
        <v>318</v>
      </c>
    </row>
    <row r="11" spans="2:5" ht="16.05" customHeight="1" x14ac:dyDescent="0.25">
      <c r="B11" s="61" t="s">
        <v>319</v>
      </c>
      <c r="C11" s="62" t="s">
        <v>320</v>
      </c>
      <c r="D11" s="62" t="s">
        <v>321</v>
      </c>
      <c r="E11" s="62" t="s">
        <v>322</v>
      </c>
    </row>
    <row r="12" spans="2:5" ht="16.05" customHeight="1" x14ac:dyDescent="0.25">
      <c r="B12" s="61" t="s">
        <v>323</v>
      </c>
      <c r="C12" s="62" t="s">
        <v>324</v>
      </c>
      <c r="D12" s="62" t="s">
        <v>325</v>
      </c>
      <c r="E12" s="62" t="s">
        <v>326</v>
      </c>
    </row>
    <row r="13" spans="2:5" ht="16.05" customHeight="1" x14ac:dyDescent="0.25">
      <c r="B13" s="61" t="s">
        <v>327</v>
      </c>
      <c r="C13" s="62" t="s">
        <v>328</v>
      </c>
      <c r="D13" s="62" t="s">
        <v>329</v>
      </c>
      <c r="E13" s="62" t="s">
        <v>330</v>
      </c>
    </row>
    <row r="14" spans="2:5" ht="16.05" customHeight="1" x14ac:dyDescent="0.25">
      <c r="B14" s="61" t="s">
        <v>331</v>
      </c>
      <c r="C14" s="62" t="s">
        <v>332</v>
      </c>
      <c r="D14" s="62" t="s">
        <v>333</v>
      </c>
      <c r="E14" s="62" t="s">
        <v>334</v>
      </c>
    </row>
    <row r="15" spans="2:5" ht="16.05" customHeight="1" x14ac:dyDescent="0.25">
      <c r="B15" s="61" t="s">
        <v>335</v>
      </c>
      <c r="C15" s="62" t="s">
        <v>336</v>
      </c>
      <c r="D15" s="62" t="s">
        <v>337</v>
      </c>
      <c r="E15" s="62" t="s">
        <v>338</v>
      </c>
    </row>
    <row r="16" spans="2:5" ht="16.05" customHeight="1" x14ac:dyDescent="0.25">
      <c r="B16" s="61" t="s">
        <v>339</v>
      </c>
      <c r="C16" s="62" t="s">
        <v>340</v>
      </c>
      <c r="D16" s="62" t="s">
        <v>341</v>
      </c>
      <c r="E16" s="62" t="s">
        <v>342</v>
      </c>
    </row>
    <row r="17" spans="2:5" ht="16.05" customHeight="1" x14ac:dyDescent="0.25">
      <c r="B17" s="148" t="s">
        <v>343</v>
      </c>
      <c r="C17" s="148"/>
      <c r="D17" s="148"/>
      <c r="E17" s="148"/>
    </row>
    <row r="18" spans="2:5" ht="16.05" customHeight="1" x14ac:dyDescent="0.25">
      <c r="B18" s="60" t="s">
        <v>307</v>
      </c>
      <c r="C18" s="60" t="s">
        <v>308</v>
      </c>
      <c r="D18" s="60" t="s">
        <v>309</v>
      </c>
      <c r="E18" s="60" t="s">
        <v>310</v>
      </c>
    </row>
    <row r="19" spans="2:5" ht="16.05" customHeight="1" x14ac:dyDescent="0.25">
      <c r="B19" s="61" t="s">
        <v>344</v>
      </c>
      <c r="C19" s="62" t="s">
        <v>345</v>
      </c>
      <c r="D19" s="62" t="s">
        <v>346</v>
      </c>
      <c r="E19" s="62" t="s">
        <v>347</v>
      </c>
    </row>
    <row r="20" spans="2:5" ht="16.05" customHeight="1" x14ac:dyDescent="0.25">
      <c r="B20" s="61" t="s">
        <v>348</v>
      </c>
      <c r="C20" s="62" t="s">
        <v>349</v>
      </c>
      <c r="D20" s="62" t="s">
        <v>350</v>
      </c>
      <c r="E20" s="62" t="s">
        <v>351</v>
      </c>
    </row>
    <row r="21" spans="2:5" ht="16.05" customHeight="1" x14ac:dyDescent="0.25">
      <c r="B21" s="61" t="s">
        <v>352</v>
      </c>
      <c r="C21" s="62" t="s">
        <v>353</v>
      </c>
      <c r="D21" s="62" t="s">
        <v>354</v>
      </c>
      <c r="E21" s="62" t="s">
        <v>355</v>
      </c>
    </row>
    <row r="22" spans="2:5" ht="16.05" customHeight="1" x14ac:dyDescent="0.25">
      <c r="B22" s="61" t="s">
        <v>356</v>
      </c>
      <c r="C22" s="62" t="s">
        <v>357</v>
      </c>
      <c r="D22" s="62" t="s">
        <v>358</v>
      </c>
      <c r="E22" s="62" t="s">
        <v>359</v>
      </c>
    </row>
    <row r="23" spans="2:5" ht="16.05" customHeight="1" x14ac:dyDescent="0.25">
      <c r="B23" s="61" t="s">
        <v>360</v>
      </c>
      <c r="C23" s="62" t="s">
        <v>361</v>
      </c>
      <c r="D23" s="62" t="s">
        <v>362</v>
      </c>
      <c r="E23" s="62" t="s">
        <v>363</v>
      </c>
    </row>
    <row r="24" spans="2:5" ht="16.05" customHeight="1" x14ac:dyDescent="0.25"/>
    <row r="25" spans="2:5" ht="16.05" customHeight="1" x14ac:dyDescent="0.25">
      <c r="B25" s="148" t="s">
        <v>364</v>
      </c>
      <c r="C25" s="148"/>
      <c r="D25" s="148"/>
      <c r="E25" s="148"/>
    </row>
    <row r="26" spans="2:5" ht="16.05" customHeight="1" x14ac:dyDescent="0.25">
      <c r="B26" s="62" t="s">
        <v>365</v>
      </c>
      <c r="C26" s="62" t="s">
        <v>366</v>
      </c>
    </row>
    <row r="27" spans="2:5" ht="16.05" customHeight="1" x14ac:dyDescent="0.25">
      <c r="B27" s="62" t="s">
        <v>367</v>
      </c>
      <c r="C27" s="62" t="s">
        <v>368</v>
      </c>
    </row>
    <row r="28" spans="2:5" ht="16.05" customHeight="1" x14ac:dyDescent="0.25">
      <c r="B28" s="62" t="s">
        <v>369</v>
      </c>
      <c r="C28" s="62" t="s">
        <v>370</v>
      </c>
    </row>
    <row r="29" spans="2:5" ht="16.05" customHeight="1" x14ac:dyDescent="0.25">
      <c r="B29" s="62" t="s">
        <v>371</v>
      </c>
      <c r="C29" s="62" t="s">
        <v>372</v>
      </c>
    </row>
    <row r="30" spans="2:5" ht="16.05" customHeight="1" x14ac:dyDescent="0.25">
      <c r="B30" s="62" t="s">
        <v>373</v>
      </c>
      <c r="C30" s="62" t="s">
        <v>374</v>
      </c>
    </row>
    <row r="31" spans="2:5" ht="16.05" customHeight="1" x14ac:dyDescent="0.25">
      <c r="B31" s="62" t="s">
        <v>375</v>
      </c>
      <c r="C31" s="62" t="s">
        <v>376</v>
      </c>
    </row>
    <row r="32" spans="2:5" ht="16.05" customHeight="1" x14ac:dyDescent="0.25"/>
    <row r="33" spans="2:5" ht="16.05" customHeight="1" x14ac:dyDescent="0.25">
      <c r="B33" s="148" t="s">
        <v>377</v>
      </c>
      <c r="C33" s="148"/>
      <c r="D33" s="148"/>
      <c r="E33" s="148"/>
    </row>
    <row r="34" spans="2:5" ht="16.05" customHeight="1" x14ac:dyDescent="0.25">
      <c r="B34" s="62" t="s">
        <v>365</v>
      </c>
      <c r="C34" s="62" t="s">
        <v>378</v>
      </c>
    </row>
    <row r="35" spans="2:5" ht="16.05" customHeight="1" x14ac:dyDescent="0.25">
      <c r="B35" s="62" t="s">
        <v>367</v>
      </c>
      <c r="C35" s="62" t="s">
        <v>379</v>
      </c>
    </row>
    <row r="36" spans="2:5" ht="16.05" customHeight="1" x14ac:dyDescent="0.25">
      <c r="B36" s="62" t="s">
        <v>369</v>
      </c>
      <c r="C36" s="62" t="s">
        <v>380</v>
      </c>
    </row>
    <row r="37" spans="2:5" ht="16.05" customHeight="1" x14ac:dyDescent="0.25"/>
    <row r="38" spans="2:5" ht="16.05" customHeight="1" x14ac:dyDescent="0.25">
      <c r="B38" s="58" t="s">
        <v>381</v>
      </c>
    </row>
    <row r="39" spans="2:5" ht="16.05" customHeight="1" x14ac:dyDescent="0.25"/>
    <row r="40" spans="2:5" ht="16.05" customHeight="1" x14ac:dyDescent="0.25">
      <c r="B40" s="61" t="s">
        <v>382</v>
      </c>
      <c r="C40" s="62" t="s">
        <v>383</v>
      </c>
      <c r="D40" s="62" t="s">
        <v>384</v>
      </c>
      <c r="E40" s="62" t="s">
        <v>385</v>
      </c>
    </row>
    <row r="41" spans="2:5" ht="16.05" customHeight="1" x14ac:dyDescent="0.25"/>
    <row r="42" spans="2:5" ht="16.05" customHeight="1" x14ac:dyDescent="0.25">
      <c r="B42" s="61" t="s">
        <v>386</v>
      </c>
      <c r="C42" s="62" t="s">
        <v>387</v>
      </c>
      <c r="D42" s="62" t="s">
        <v>388</v>
      </c>
      <c r="E42" s="62" t="s">
        <v>389</v>
      </c>
    </row>
  </sheetData>
  <mergeCells count="5">
    <mergeCell ref="B2:E2"/>
    <mergeCell ref="B7:E7"/>
    <mergeCell ref="B17:E17"/>
    <mergeCell ref="B25:E25"/>
    <mergeCell ref="B33:E33"/>
  </mergeCells>
  <hyperlinks>
    <hyperlink ref="B9" location="'Dashboard'!A1" display="Dashboard" xr:uid="{00000000-0004-0000-0200-000000000000}"/>
    <hyperlink ref="B10" location="'1. Assumptions and Sources'!A1" display="1. Assumptions and Sources" xr:uid="{00000000-0004-0000-0200-000001000000}"/>
    <hyperlink ref="B11" location="'2. Summary'!A1" display="2. Summary" xr:uid="{00000000-0004-0000-0200-000002000000}"/>
    <hyperlink ref="B12" location="'3. Workings'!A1" display="3. Workings" xr:uid="{00000000-0004-0000-0200-000003000000}"/>
    <hyperlink ref="B13" location="'4. Forecast'!A1" display="4. Forecast" xr:uid="{00000000-0004-0000-0200-000004000000}"/>
    <hyperlink ref="B14" location="'5. Investor Metrics'!A1" display="5. Investor Metrics" xr:uid="{00000000-0004-0000-0200-000005000000}"/>
    <hyperlink ref="B15" location="'6. Stakeholder Analysis'!A1" display="6. Stakeholder Analysis" xr:uid="{00000000-0004-0000-0200-000006000000}"/>
    <hyperlink ref="B19" location="'7. Trend Analysis'!A1" display="7. Trend Analysis" xr:uid="{00000000-0004-0000-0200-000007000000}"/>
    <hyperlink ref="B20" location="'8. Scenario Simulation'!A1" display="8. Scenario Simulation" xr:uid="{00000000-0004-0000-0200-000008000000}"/>
    <hyperlink ref="B21" location="'9. Landscape Impact'!A1" display="9. Landscape Impact" xr:uid="{00000000-0004-0000-0200-000009000000}"/>
    <hyperlink ref="B22" location="'10. Resilience and Breakpoints'!A1" display="10. Resilience and Breakpoints" xr:uid="{00000000-0004-0000-0200-00000A000000}"/>
    <hyperlink ref="B23" location="'11. Strategy and Early Warning'!A1" display="11. Strategy and Early Warning" xr:uid="{00000000-0004-0000-0200-00000B000000}"/>
    <hyperlink ref="B40" location="'12. Cost Architecture'!A1" display="12. Cost Architecture" xr:uid="{00000000-0004-0000-0200-00000C000000}"/>
    <hyperlink ref="B42" location="'13. GenAI Build vs Buy'!A1" display="13. GenAI Build vs Buy" xr:uid="{00000000-0004-0000-0200-00000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I122"/>
  <sheetViews>
    <sheetView showGridLines="0" zoomScale="70" zoomScaleNormal="70" workbookViewId="0"/>
  </sheetViews>
  <sheetFormatPr defaultColWidth="2.77734375" defaultRowHeight="13.8" zeroHeight="1" x14ac:dyDescent="0.3"/>
  <cols>
    <col min="1" max="102" width="2.77734375" style="3"/>
    <col min="103" max="103" width="2.77734375" style="4"/>
    <col min="104" max="111" width="30.77734375" style="4" customWidth="1"/>
    <col min="112" max="112" width="71.109375" style="4" customWidth="1"/>
    <col min="113" max="183" width="30.77734375" style="4" customWidth="1"/>
    <col min="184" max="16384" width="2.77734375" style="4"/>
  </cols>
  <sheetData>
    <row r="1" spans="3:113" ht="16.05" customHeight="1" x14ac:dyDescent="0.3"/>
    <row r="2" spans="3:113" ht="16.05" customHeight="1" x14ac:dyDescent="0.3">
      <c r="D2" s="154" t="s">
        <v>142</v>
      </c>
      <c r="E2" s="154"/>
      <c r="F2" s="154"/>
      <c r="G2" s="154"/>
      <c r="H2" s="154"/>
      <c r="I2" s="154"/>
      <c r="J2" s="154"/>
      <c r="K2" s="154"/>
      <c r="L2" s="154"/>
      <c r="M2" s="154"/>
      <c r="N2" s="154"/>
      <c r="O2" s="154"/>
      <c r="P2" s="154"/>
      <c r="Q2" s="154"/>
      <c r="R2" s="5"/>
      <c r="S2" s="154" t="s">
        <v>143</v>
      </c>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6"/>
      <c r="BH2" s="6"/>
      <c r="BI2" s="6"/>
      <c r="BJ2" s="6"/>
      <c r="BK2" s="6"/>
      <c r="BL2" s="6"/>
      <c r="BM2" s="6"/>
      <c r="BN2" s="6"/>
      <c r="BO2" s="6"/>
      <c r="BP2" s="6"/>
      <c r="BQ2" s="6"/>
      <c r="CZ2" s="7" t="s">
        <v>144</v>
      </c>
      <c r="DB2" s="7" t="s">
        <v>145</v>
      </c>
      <c r="DD2" s="7" t="s">
        <v>146</v>
      </c>
      <c r="DH2" s="7" t="s">
        <v>147</v>
      </c>
    </row>
    <row r="3" spans="3:113" ht="16.05" customHeight="1" x14ac:dyDescent="0.25">
      <c r="D3" s="154"/>
      <c r="E3" s="154"/>
      <c r="F3" s="154"/>
      <c r="G3" s="154"/>
      <c r="H3" s="154"/>
      <c r="I3" s="154"/>
      <c r="J3" s="154"/>
      <c r="K3" s="154"/>
      <c r="L3" s="154"/>
      <c r="M3" s="154"/>
      <c r="N3" s="154"/>
      <c r="O3" s="154"/>
      <c r="P3" s="154"/>
      <c r="Q3" s="154"/>
      <c r="R3" s="5"/>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6"/>
      <c r="BH3" s="155" t="s">
        <v>148</v>
      </c>
      <c r="BI3" s="155"/>
      <c r="BJ3" s="155"/>
      <c r="BK3" s="155"/>
      <c r="BL3" s="155"/>
      <c r="BM3" s="155"/>
      <c r="BN3" s="155"/>
      <c r="BO3" s="155"/>
      <c r="BP3" s="155"/>
      <c r="BQ3" s="155"/>
      <c r="BR3" s="155"/>
      <c r="BS3" s="155"/>
      <c r="BT3" s="155"/>
      <c r="BU3" s="155"/>
      <c r="CO3" s="8"/>
      <c r="CZ3" s="9"/>
    </row>
    <row r="4" spans="3:113" ht="16.05" customHeight="1" x14ac:dyDescent="0.25">
      <c r="D4" s="154"/>
      <c r="E4" s="154"/>
      <c r="F4" s="154"/>
      <c r="G4" s="154"/>
      <c r="H4" s="154"/>
      <c r="I4" s="154"/>
      <c r="J4" s="154"/>
      <c r="K4" s="154"/>
      <c r="L4" s="154"/>
      <c r="M4" s="154"/>
      <c r="N4" s="154"/>
      <c r="O4" s="154"/>
      <c r="P4" s="154"/>
      <c r="Q4" s="154"/>
      <c r="R4" s="5"/>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6"/>
      <c r="BH4" s="156" t="s">
        <v>25</v>
      </c>
      <c r="BI4" s="156"/>
      <c r="BJ4" s="156"/>
      <c r="BK4" s="156"/>
      <c r="BL4" s="156"/>
      <c r="BM4" s="156"/>
      <c r="BN4" s="156"/>
      <c r="BO4" s="156"/>
      <c r="BP4" s="156"/>
      <c r="BQ4" s="156"/>
      <c r="BR4" s="156"/>
      <c r="BS4" s="156"/>
      <c r="BT4" s="156"/>
      <c r="BU4" s="156"/>
      <c r="CA4" s="8"/>
      <c r="CB4" s="8"/>
      <c r="CC4" s="8"/>
      <c r="CD4" s="8"/>
      <c r="CE4" s="8"/>
      <c r="CF4" s="8"/>
      <c r="CG4" s="8"/>
      <c r="CH4" s="8"/>
      <c r="CI4" s="8"/>
      <c r="CJ4" s="8"/>
      <c r="CK4" s="8"/>
      <c r="CL4" s="8"/>
      <c r="CM4" s="8"/>
      <c r="CN4" s="8"/>
      <c r="CO4" s="8"/>
      <c r="CZ4" s="10" t="s">
        <v>149</v>
      </c>
      <c r="DB4" s="10" t="s">
        <v>150</v>
      </c>
      <c r="DD4" s="10" t="s">
        <v>151</v>
      </c>
      <c r="DH4" s="10" t="s">
        <v>152</v>
      </c>
    </row>
    <row r="5" spans="3:113" ht="16.05" customHeight="1" x14ac:dyDescent="0.25">
      <c r="D5" s="157" t="s">
        <v>153</v>
      </c>
      <c r="E5" s="157"/>
      <c r="F5" s="157"/>
      <c r="G5" s="157"/>
      <c r="H5" s="157"/>
      <c r="I5" s="157"/>
      <c r="J5" s="157"/>
      <c r="K5" s="157"/>
      <c r="L5" s="157"/>
      <c r="M5" s="157"/>
      <c r="N5" s="157"/>
      <c r="O5" s="157"/>
      <c r="P5" s="157"/>
      <c r="Q5" s="11"/>
      <c r="R5" s="5"/>
      <c r="S5" s="157" t="s">
        <v>154</v>
      </c>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H5" s="156"/>
      <c r="BI5" s="156"/>
      <c r="BJ5" s="156"/>
      <c r="BK5" s="156"/>
      <c r="BL5" s="156"/>
      <c r="BM5" s="156"/>
      <c r="BN5" s="156"/>
      <c r="BO5" s="156"/>
      <c r="BP5" s="156"/>
      <c r="BQ5" s="156"/>
      <c r="BR5" s="156"/>
      <c r="BS5" s="156"/>
      <c r="BT5" s="156"/>
      <c r="BU5" s="156"/>
      <c r="CA5" s="8"/>
      <c r="CB5" s="8"/>
      <c r="CC5" s="8"/>
      <c r="CD5" s="8"/>
      <c r="CE5" s="8"/>
      <c r="CF5" s="8"/>
      <c r="CG5" s="8"/>
      <c r="CH5" s="8"/>
      <c r="CI5" s="8"/>
      <c r="CJ5" s="8"/>
      <c r="CK5" s="8"/>
      <c r="CL5" s="8"/>
      <c r="CM5" s="8"/>
      <c r="CN5" s="8"/>
      <c r="CO5" s="8"/>
      <c r="CZ5" s="12" t="s">
        <v>155</v>
      </c>
      <c r="DA5" s="12" t="s">
        <v>6</v>
      </c>
      <c r="DB5" s="12" t="s">
        <v>156</v>
      </c>
      <c r="DC5" s="12" t="s">
        <v>6</v>
      </c>
      <c r="DD5" s="12" t="s">
        <v>157</v>
      </c>
      <c r="DE5" s="13" t="s">
        <v>158</v>
      </c>
      <c r="DF5" s="13" t="s">
        <v>159</v>
      </c>
      <c r="DH5" s="12" t="s">
        <v>160</v>
      </c>
      <c r="DI5" s="12" t="s">
        <v>6</v>
      </c>
    </row>
    <row r="6" spans="3:113" ht="16.05" customHeight="1" x14ac:dyDescent="0.25">
      <c r="BH6" s="8" t="s">
        <v>161</v>
      </c>
      <c r="BI6" s="8"/>
      <c r="BJ6" s="8"/>
      <c r="BK6" s="8"/>
      <c r="BL6" s="8"/>
      <c r="BM6" s="8"/>
      <c r="BN6" s="8"/>
      <c r="BO6" s="8"/>
      <c r="BP6" s="8"/>
      <c r="BQ6" s="8"/>
      <c r="BR6" s="8"/>
      <c r="BS6" s="8"/>
      <c r="BT6" s="8"/>
      <c r="BU6" s="8"/>
      <c r="CZ6" s="14" t="s">
        <v>162</v>
      </c>
      <c r="DA6" s="15">
        <f>INDEX('3. Workings'!$D$22:$F$22,MATCH($BH$4,'3. Workings'!$D$6:$F$6,0))</f>
        <v>9.8000000000000007</v>
      </c>
      <c r="DB6" s="14" t="s">
        <v>163</v>
      </c>
      <c r="DC6" s="16">
        <f>INDEX('3. Workings'!$D$30:$F$30,MATCH($BH$4,'3. Workings'!$D$68:$F$68,0))</f>
        <v>41.255831390492453</v>
      </c>
      <c r="DD6" s="14" t="s">
        <v>164</v>
      </c>
      <c r="DE6" s="16">
        <f>INDEX('5. Investor Metrics'!$D$21:$F$21,MATCH($BH$4,'5. Investor Metrics'!$D$20:$F$20,0))</f>
        <v>-9.8904698000000018</v>
      </c>
      <c r="DF6" s="17">
        <f>DE6</f>
        <v>-9.8904698000000018</v>
      </c>
      <c r="DH6" s="14" t="s">
        <v>165</v>
      </c>
      <c r="DI6" s="16">
        <f>INDEX('3. Workings'!$D$101:$F$101,MATCH($BH$4,'3. Workings'!$D$100:$F$100,0))</f>
        <v>40.46582610854685</v>
      </c>
    </row>
    <row r="7" spans="3:113" ht="16.05" customHeight="1" x14ac:dyDescent="0.3">
      <c r="CZ7" s="14" t="s">
        <v>166</v>
      </c>
      <c r="DA7" s="15">
        <f>INDEX('3. Workings'!$D$24:$F$24,MATCH($BH$4,'3. Workings'!$D$6:$F$6,0))</f>
        <v>2.7100000000000004</v>
      </c>
      <c r="DB7" s="14" t="s">
        <v>167</v>
      </c>
      <c r="DC7" s="16">
        <f>INDEX('3. Workings'!$D$31:$F$31,MATCH($BH$4,'3. Workings'!$D$68:$F$68,0))</f>
        <v>18.418297486149477</v>
      </c>
      <c r="DD7" s="14" t="s">
        <v>168</v>
      </c>
      <c r="DE7" s="16">
        <f>INDEX('5. Investor Metrics'!$D$22:$F$22,MATCH($BH$4,'5. Investor Metrics'!$D$20:$F$20,0))</f>
        <v>30.964649181050611</v>
      </c>
      <c r="DF7" s="4">
        <f>DF6+DE7</f>
        <v>21.074179381050609</v>
      </c>
      <c r="DH7" s="14" t="s">
        <v>169</v>
      </c>
      <c r="DI7" s="16">
        <f>INDEX('3. Workings'!$D$102:$F$102,MATCH($BH$4,'3. Workings'!$D$100:$F$100,0))</f>
        <v>39.142942629294744</v>
      </c>
    </row>
    <row r="8" spans="3:113" ht="16.05" customHeight="1" x14ac:dyDescent="0.3">
      <c r="DB8" s="14" t="s">
        <v>170</v>
      </c>
      <c r="DC8" s="16">
        <f>INDEX('3. Workings'!$D$33:$F$33,MATCH($BH$4,'3. Workings'!$D$68:$F$68,0))</f>
        <v>10.492257650840001</v>
      </c>
      <c r="DD8" s="14" t="s">
        <v>171</v>
      </c>
      <c r="DE8" s="16">
        <f>INDEX('5. Investor Metrics'!$D$23:$F$23,MATCH($BH$4,'5. Investor Metrics'!$D$20:$F$20,0))</f>
        <v>74.820390678168934</v>
      </c>
      <c r="DF8" s="4">
        <f>DF7+DE8</f>
        <v>95.894570059219546</v>
      </c>
      <c r="DH8" s="14" t="s">
        <v>172</v>
      </c>
      <c r="DI8" s="16">
        <f>INDEX('3. Workings'!$D$103:$F$103,MATCH($BH$4,'3. Workings'!$D$100:$F$100,0))</f>
        <v>0.96007586347555574</v>
      </c>
    </row>
    <row r="9" spans="3:113" ht="16.05" customHeight="1" x14ac:dyDescent="0.3">
      <c r="C9" s="18"/>
      <c r="D9" s="19"/>
      <c r="E9" s="19"/>
      <c r="F9" s="19"/>
      <c r="G9" s="19"/>
      <c r="H9" s="19"/>
      <c r="I9" s="19"/>
      <c r="J9" s="19"/>
      <c r="K9" s="19"/>
      <c r="L9" s="19"/>
      <c r="M9" s="20"/>
      <c r="N9" s="20"/>
      <c r="O9" s="21"/>
      <c r="R9" s="18"/>
      <c r="S9" s="19"/>
      <c r="T9" s="19"/>
      <c r="U9" s="19"/>
      <c r="V9" s="19"/>
      <c r="W9" s="19"/>
      <c r="X9" s="19"/>
      <c r="Y9" s="19"/>
      <c r="Z9" s="19"/>
      <c r="AA9" s="20"/>
      <c r="AB9" s="20"/>
      <c r="AC9" s="20"/>
      <c r="AD9" s="20"/>
      <c r="AE9" s="20"/>
      <c r="AF9" s="20"/>
      <c r="AG9" s="20"/>
      <c r="AH9" s="20"/>
      <c r="AI9" s="20"/>
      <c r="AJ9" s="21"/>
      <c r="AM9" s="18"/>
      <c r="AN9" s="19"/>
      <c r="AO9" s="19"/>
      <c r="AP9" s="19"/>
      <c r="AQ9" s="19"/>
      <c r="AR9" s="19"/>
      <c r="AS9" s="19"/>
      <c r="AT9" s="19"/>
      <c r="AU9" s="19"/>
      <c r="AV9" s="19"/>
      <c r="AW9" s="20"/>
      <c r="AX9" s="20"/>
      <c r="AY9" s="21"/>
      <c r="BB9" s="18"/>
      <c r="BC9" s="19"/>
      <c r="BD9" s="19"/>
      <c r="BE9" s="19"/>
      <c r="BF9" s="19"/>
      <c r="BG9" s="19"/>
      <c r="BH9" s="19"/>
      <c r="BI9" s="19"/>
      <c r="BJ9" s="19"/>
      <c r="BK9" s="19"/>
      <c r="BL9" s="20"/>
      <c r="BM9" s="20"/>
      <c r="BN9" s="21"/>
      <c r="BQ9" s="18"/>
      <c r="BR9" s="19"/>
      <c r="BS9" s="19"/>
      <c r="BT9" s="19"/>
      <c r="BU9" s="19"/>
      <c r="BV9" s="19"/>
      <c r="BW9" s="19"/>
      <c r="BX9" s="19"/>
      <c r="BY9" s="19"/>
      <c r="BZ9" s="19"/>
      <c r="CA9" s="20"/>
      <c r="CB9" s="20"/>
      <c r="CC9" s="21"/>
      <c r="CF9" s="18"/>
      <c r="CG9" s="19"/>
      <c r="CH9" s="19"/>
      <c r="CI9" s="19"/>
      <c r="CJ9" s="19"/>
      <c r="CK9" s="19"/>
      <c r="CL9" s="19"/>
      <c r="CM9" s="19"/>
      <c r="CN9" s="19"/>
      <c r="CO9" s="19"/>
      <c r="CP9" s="20"/>
      <c r="CQ9" s="20"/>
      <c r="CR9" s="21"/>
      <c r="DB9" s="14" t="s">
        <v>173</v>
      </c>
      <c r="DC9" s="16">
        <f>INDEX('3. Workings'!$D$32:$F$32,MATCH($BH$4,'3. Workings'!$D$68:$F$68,0))</f>
        <v>10.232387492305266</v>
      </c>
      <c r="DD9" s="14" t="s">
        <v>174</v>
      </c>
      <c r="DE9" s="16">
        <f>INDEX('5. Investor Metrics'!$D$24:$F$24,MATCH($BH$4,'5. Investor Metrics'!$D$20:$F$20,0))</f>
        <v>88.945576598908318</v>
      </c>
      <c r="DF9" s="4">
        <f>DF8+DE9</f>
        <v>184.84014665812788</v>
      </c>
    </row>
    <row r="10" spans="3:113" ht="16.05" customHeight="1" x14ac:dyDescent="0.3">
      <c r="C10" s="22"/>
      <c r="D10" s="158" t="str">
        <f>IF((INDEX('3. Workings'!$D$13:$F$13,MATCH($BH$4,'3. Workings'!$D$6:$F$6,0)))&gt;=1000000000,TEXT((INDEX('3. Workings'!$D$13:$F$13,MATCH($BH$4,'3. Workings'!$D$6:$F$6,0)))/1000000000,"0.0")&amp;"B Claims",IF((INDEX('3. Workings'!$D$13:$F$13,MATCH($BH$4,'3. Workings'!$D$6:$F$6,0)))&gt;=1000000,TEXT((INDEX('3. Workings'!$D$13:$F$13,MATCH($BH$4,'3. Workings'!$D$6:$F$6,0)))/1000000,"0.0")&amp;"M Claims",IF((INDEX('3. Workings'!$D$13:$F$13,MATCH($BH$4,'3. Workings'!$D$6:$F$6,0)))&gt;=1000,TEXT((INDEX('3. Workings'!$D$13:$F$13,MATCH($BH$4,'3. Workings'!$D$6:$F$6,0)))/1000,"0.0")&amp;"K Claims",TEXT((INDEX('3. Workings'!$D$13:$F$13,MATCH($BH$4,'3. Workings'!$D$6:$F$6,0))),"0.0")&amp;" Claims")))</f>
        <v>274.3K Claims</v>
      </c>
      <c r="E10" s="158"/>
      <c r="F10" s="158"/>
      <c r="G10" s="158"/>
      <c r="H10" s="158"/>
      <c r="I10" s="158"/>
      <c r="J10" s="158"/>
      <c r="K10" s="158"/>
      <c r="L10" s="158"/>
      <c r="M10" s="158"/>
      <c r="N10" s="158"/>
      <c r="O10" s="23"/>
      <c r="R10" s="22"/>
      <c r="S10" s="158" t="str">
        <f>TEXT(INDEX('3. Workings'!$D$22:$F$22,MATCH($BH$4,'3. Workings'!$D$6:$F$6,0)),"0.0")&amp;" Days"</f>
        <v>9.8 Days</v>
      </c>
      <c r="T10" s="158"/>
      <c r="U10" s="158"/>
      <c r="V10" s="158"/>
      <c r="W10" s="158"/>
      <c r="X10" s="158"/>
      <c r="Y10" s="158"/>
      <c r="Z10" s="158"/>
      <c r="AB10" s="158" t="str">
        <f>TEXT(INDEX('3. Workings'!$D$24:$F$24,MATCH($BH$4,'3. Workings'!$D$6:$F$6,0)),"0.0")&amp;" Days"</f>
        <v>2.7 Days</v>
      </c>
      <c r="AC10" s="158"/>
      <c r="AD10" s="158"/>
      <c r="AE10" s="158"/>
      <c r="AF10" s="158"/>
      <c r="AG10" s="158"/>
      <c r="AH10" s="158"/>
      <c r="AI10" s="158"/>
      <c r="AJ10" s="23"/>
      <c r="AM10" s="22"/>
      <c r="AN10" s="158" t="str">
        <f>TEXT(INDEX('3. Workings'!$D$26:$F$26,MATCH($BH$4,'3. Workings'!$D$6:$F$6,0)),"0.0%")</f>
        <v>72.3%</v>
      </c>
      <c r="AO10" s="158"/>
      <c r="AP10" s="158"/>
      <c r="AQ10" s="158"/>
      <c r="AR10" s="158"/>
      <c r="AS10" s="158"/>
      <c r="AT10" s="158"/>
      <c r="AU10" s="158"/>
      <c r="AV10" s="158"/>
      <c r="AW10" s="158"/>
      <c r="AX10" s="158"/>
      <c r="AY10" s="23"/>
      <c r="BB10" s="22"/>
      <c r="BC10" s="158" t="str">
        <f>"₹"&amp;TEXT(INDEX('3. Workings'!$D$71:$F$71,MATCH($BH$4,'3. Workings'!$D$68:$F$68,0)),"0.0")&amp;" Cr"</f>
        <v>₹75.3 Cr</v>
      </c>
      <c r="BD10" s="158"/>
      <c r="BE10" s="158"/>
      <c r="BF10" s="158"/>
      <c r="BG10" s="158"/>
      <c r="BH10" s="158"/>
      <c r="BI10" s="158"/>
      <c r="BJ10" s="158"/>
      <c r="BK10" s="158"/>
      <c r="BL10" s="158"/>
      <c r="BM10" s="158"/>
      <c r="BN10" s="23"/>
      <c r="BQ10" s="22"/>
      <c r="BR10" s="158" t="str">
        <f>TEXT(INDEX('4. Forecast'!$D$50:$F$50,MATCH($BH$4,'4. Forecast'!$D$45:$F$45,0)),"0.0")&amp;" Months"</f>
        <v>13.8 Months</v>
      </c>
      <c r="BS10" s="158"/>
      <c r="BT10" s="158"/>
      <c r="BU10" s="158"/>
      <c r="BV10" s="158"/>
      <c r="BW10" s="158"/>
      <c r="BX10" s="158"/>
      <c r="BY10" s="158"/>
      <c r="BZ10" s="158"/>
      <c r="CA10" s="158"/>
      <c r="CB10" s="158"/>
      <c r="CC10" s="23"/>
      <c r="CF10" s="22"/>
      <c r="CG10" s="158" t="str">
        <f>TEXT(INDEX('3. Workings'!$D$82:$F$82,MATCH($BH$4,'3. Workings'!$D$77:$F$77,0)),"0.0")&amp;" pp"</f>
        <v>4.5 pp</v>
      </c>
      <c r="CH10" s="158"/>
      <c r="CI10" s="158"/>
      <c r="CJ10" s="158"/>
      <c r="CK10" s="158"/>
      <c r="CL10" s="158"/>
      <c r="CM10" s="158"/>
      <c r="CN10" s="158"/>
      <c r="CO10" s="158"/>
      <c r="CP10" s="158"/>
      <c r="CQ10" s="158"/>
      <c r="CR10" s="23"/>
      <c r="CZ10" s="10" t="s">
        <v>175</v>
      </c>
      <c r="DB10" s="14" t="s">
        <v>176</v>
      </c>
      <c r="DC10" s="16">
        <f>INDEX('3. Workings'!$D$34:$F$34,MATCH($BH$4,'3. Workings'!$D$68:$F$68,0))</f>
        <v>0.96007586347555574</v>
      </c>
      <c r="DD10" s="14" t="s">
        <v>177</v>
      </c>
      <c r="DE10" s="16">
        <f>INDEX('5. Investor Metrics'!$D$25:$F$25,MATCH($BH$4,'5. Investor Metrics'!$D$20:$F$20,0))</f>
        <v>96.683841763013334</v>
      </c>
      <c r="DF10" s="4">
        <f>DF9+DE10</f>
        <v>281.52398842114121</v>
      </c>
      <c r="DH10" s="10" t="s">
        <v>178</v>
      </c>
    </row>
    <row r="11" spans="3:113" ht="16.05" customHeight="1" x14ac:dyDescent="0.3">
      <c r="C11" s="22"/>
      <c r="D11" s="158"/>
      <c r="E11" s="158"/>
      <c r="F11" s="158"/>
      <c r="G11" s="158"/>
      <c r="H11" s="158"/>
      <c r="I11" s="158"/>
      <c r="J11" s="158"/>
      <c r="K11" s="158"/>
      <c r="L11" s="158"/>
      <c r="M11" s="158"/>
      <c r="N11" s="158"/>
      <c r="O11" s="23"/>
      <c r="R11" s="22"/>
      <c r="S11" s="158"/>
      <c r="T11" s="158"/>
      <c r="U11" s="158"/>
      <c r="V11" s="158"/>
      <c r="W11" s="158"/>
      <c r="X11" s="158"/>
      <c r="Y11" s="158"/>
      <c r="Z11" s="158"/>
      <c r="AB11" s="158"/>
      <c r="AC11" s="158"/>
      <c r="AD11" s="158"/>
      <c r="AE11" s="158"/>
      <c r="AF11" s="158"/>
      <c r="AG11" s="158"/>
      <c r="AH11" s="158"/>
      <c r="AI11" s="158"/>
      <c r="AJ11" s="23"/>
      <c r="AM11" s="22"/>
      <c r="AN11" s="158"/>
      <c r="AO11" s="158"/>
      <c r="AP11" s="158"/>
      <c r="AQ11" s="158"/>
      <c r="AR11" s="158"/>
      <c r="AS11" s="158"/>
      <c r="AT11" s="158"/>
      <c r="AU11" s="158"/>
      <c r="AV11" s="158"/>
      <c r="AW11" s="158"/>
      <c r="AX11" s="158"/>
      <c r="AY11" s="23"/>
      <c r="BB11" s="22"/>
      <c r="BC11" s="158"/>
      <c r="BD11" s="158"/>
      <c r="BE11" s="158"/>
      <c r="BF11" s="158"/>
      <c r="BG11" s="158"/>
      <c r="BH11" s="158"/>
      <c r="BI11" s="158"/>
      <c r="BJ11" s="158"/>
      <c r="BK11" s="158"/>
      <c r="BL11" s="158"/>
      <c r="BM11" s="158"/>
      <c r="BN11" s="23"/>
      <c r="BQ11" s="22"/>
      <c r="BR11" s="158"/>
      <c r="BS11" s="158"/>
      <c r="BT11" s="158"/>
      <c r="BU11" s="158"/>
      <c r="BV11" s="158"/>
      <c r="BW11" s="158"/>
      <c r="BX11" s="158"/>
      <c r="BY11" s="158"/>
      <c r="BZ11" s="158"/>
      <c r="CA11" s="158"/>
      <c r="CB11" s="158"/>
      <c r="CC11" s="23"/>
      <c r="CF11" s="22"/>
      <c r="CG11" s="158"/>
      <c r="CH11" s="158"/>
      <c r="CI11" s="158"/>
      <c r="CJ11" s="158"/>
      <c r="CK11" s="158"/>
      <c r="CL11" s="158"/>
      <c r="CM11" s="158"/>
      <c r="CN11" s="158"/>
      <c r="CO11" s="158"/>
      <c r="CP11" s="158"/>
      <c r="CQ11" s="158"/>
      <c r="CR11" s="23"/>
      <c r="CZ11" s="12" t="s">
        <v>155</v>
      </c>
      <c r="DA11" s="12" t="s">
        <v>6</v>
      </c>
      <c r="DB11" s="14" t="s">
        <v>179</v>
      </c>
      <c r="DC11" s="16">
        <f>INDEX('3. Workings'!$D$35:$F$35,MATCH($BH$4,'3. Workings'!$D$68:$F$68,0))</f>
        <v>-0.79000528194560016</v>
      </c>
      <c r="DD11" s="14" t="s">
        <v>180</v>
      </c>
      <c r="DE11" s="16">
        <f>INDEX('5. Investor Metrics'!$D$26:$F$26,MATCH($BH$4,'5. Investor Metrics'!$D$20:$F$20,0))</f>
        <v>105.09533599639549</v>
      </c>
      <c r="DF11" s="4">
        <f>DF10+DE11</f>
        <v>386.61932441753669</v>
      </c>
      <c r="DH11" s="12" t="s">
        <v>155</v>
      </c>
      <c r="DI11" s="12" t="s">
        <v>6</v>
      </c>
    </row>
    <row r="12" spans="3:113" ht="16.05" customHeight="1" x14ac:dyDescent="0.25">
      <c r="C12" s="22"/>
      <c r="D12" s="159" t="s">
        <v>181</v>
      </c>
      <c r="E12" s="159"/>
      <c r="F12" s="159"/>
      <c r="G12" s="159"/>
      <c r="H12" s="159"/>
      <c r="I12" s="159"/>
      <c r="J12" s="159"/>
      <c r="K12" s="159"/>
      <c r="L12" s="159"/>
      <c r="M12" s="159"/>
      <c r="N12" s="159"/>
      <c r="O12" s="23"/>
      <c r="R12" s="22"/>
      <c r="S12" s="159" t="s">
        <v>162</v>
      </c>
      <c r="T12" s="159"/>
      <c r="U12" s="159"/>
      <c r="V12" s="159"/>
      <c r="W12" s="159"/>
      <c r="X12" s="159"/>
      <c r="Y12" s="159"/>
      <c r="Z12" s="159"/>
      <c r="AB12" s="159" t="s">
        <v>182</v>
      </c>
      <c r="AC12" s="159"/>
      <c r="AD12" s="159"/>
      <c r="AE12" s="159"/>
      <c r="AF12" s="159"/>
      <c r="AG12" s="159"/>
      <c r="AH12" s="159"/>
      <c r="AI12" s="159"/>
      <c r="AJ12" s="23"/>
      <c r="AM12" s="22"/>
      <c r="AN12" s="159" t="s">
        <v>183</v>
      </c>
      <c r="AO12" s="159"/>
      <c r="AP12" s="159"/>
      <c r="AQ12" s="159"/>
      <c r="AR12" s="159"/>
      <c r="AS12" s="159"/>
      <c r="AT12" s="159"/>
      <c r="AU12" s="159"/>
      <c r="AV12" s="159"/>
      <c r="AW12" s="159"/>
      <c r="AX12" s="159"/>
      <c r="AY12" s="23"/>
      <c r="BB12" s="22"/>
      <c r="BC12" s="159" t="s">
        <v>184</v>
      </c>
      <c r="BD12" s="159"/>
      <c r="BE12" s="159"/>
      <c r="BF12" s="159"/>
      <c r="BG12" s="159"/>
      <c r="BH12" s="159"/>
      <c r="BI12" s="159"/>
      <c r="BJ12" s="159"/>
      <c r="BK12" s="159"/>
      <c r="BL12" s="159"/>
      <c r="BM12" s="159"/>
      <c r="BN12" s="23"/>
      <c r="BQ12" s="22"/>
      <c r="BR12" s="159" t="s">
        <v>185</v>
      </c>
      <c r="BS12" s="159"/>
      <c r="BT12" s="159"/>
      <c r="BU12" s="159"/>
      <c r="BV12" s="159"/>
      <c r="BW12" s="159"/>
      <c r="BX12" s="159"/>
      <c r="BY12" s="159"/>
      <c r="BZ12" s="159"/>
      <c r="CA12" s="159"/>
      <c r="CB12" s="159"/>
      <c r="CC12" s="23"/>
      <c r="CF12" s="22"/>
      <c r="CG12" s="159" t="s">
        <v>186</v>
      </c>
      <c r="CH12" s="159"/>
      <c r="CI12" s="159"/>
      <c r="CJ12" s="159"/>
      <c r="CK12" s="159"/>
      <c r="CL12" s="159"/>
      <c r="CM12" s="159"/>
      <c r="CN12" s="159"/>
      <c r="CO12" s="159"/>
      <c r="CP12" s="159"/>
      <c r="CQ12" s="159"/>
      <c r="CR12" s="23"/>
      <c r="CZ12" s="9" t="s">
        <v>187</v>
      </c>
      <c r="DA12" s="24">
        <f>INDEX('1. Assumptions and Sources'!$D$23:$D$45,MATCH("Manual touches per claim today",'1. Assumptions and Sources'!$C$23:$C$45,0))</f>
        <v>7</v>
      </c>
      <c r="DH12" s="14" t="s">
        <v>188</v>
      </c>
      <c r="DI12" s="24">
        <f>INDEX('3. Workings'!$D$107:$F$107,MATCH($BH$4,'3. Workings'!$D$100:$F$100,0))</f>
        <v>1944839.3920119114</v>
      </c>
    </row>
    <row r="13" spans="3:113" ht="16.05" customHeight="1" x14ac:dyDescent="0.25">
      <c r="C13" s="25"/>
      <c r="D13" s="26"/>
      <c r="E13" s="26"/>
      <c r="F13" s="26"/>
      <c r="G13" s="26"/>
      <c r="H13" s="26"/>
      <c r="I13" s="26"/>
      <c r="J13" s="26"/>
      <c r="K13" s="26"/>
      <c r="L13" s="26"/>
      <c r="M13" s="27"/>
      <c r="N13" s="27"/>
      <c r="O13" s="28"/>
      <c r="R13" s="25"/>
      <c r="S13" s="26"/>
      <c r="T13" s="26"/>
      <c r="U13" s="26"/>
      <c r="V13" s="26"/>
      <c r="W13" s="26"/>
      <c r="X13" s="26"/>
      <c r="Y13" s="26"/>
      <c r="Z13" s="26"/>
      <c r="AA13" s="27"/>
      <c r="AB13" s="27"/>
      <c r="AC13" s="27"/>
      <c r="AD13" s="27"/>
      <c r="AE13" s="27"/>
      <c r="AF13" s="27"/>
      <c r="AG13" s="27"/>
      <c r="AH13" s="27"/>
      <c r="AI13" s="27"/>
      <c r="AJ13" s="28"/>
      <c r="AM13" s="25"/>
      <c r="AN13" s="26"/>
      <c r="AO13" s="26"/>
      <c r="AP13" s="26"/>
      <c r="AQ13" s="26"/>
      <c r="AR13" s="26"/>
      <c r="AS13" s="26"/>
      <c r="AT13" s="26"/>
      <c r="AU13" s="26"/>
      <c r="AV13" s="26"/>
      <c r="AW13" s="27"/>
      <c r="AX13" s="27"/>
      <c r="AY13" s="28"/>
      <c r="BB13" s="25"/>
      <c r="BC13" s="26"/>
      <c r="BD13" s="26"/>
      <c r="BE13" s="26"/>
      <c r="BF13" s="26"/>
      <c r="BG13" s="26"/>
      <c r="BH13" s="26"/>
      <c r="BI13" s="26"/>
      <c r="BJ13" s="26"/>
      <c r="BK13" s="26"/>
      <c r="BL13" s="27"/>
      <c r="BM13" s="27"/>
      <c r="BN13" s="28"/>
      <c r="BQ13" s="25"/>
      <c r="BR13" s="26"/>
      <c r="BS13" s="26"/>
      <c r="BT13" s="26"/>
      <c r="BU13" s="26"/>
      <c r="BV13" s="26"/>
      <c r="BW13" s="26"/>
      <c r="BX13" s="26"/>
      <c r="BY13" s="26"/>
      <c r="BZ13" s="26"/>
      <c r="CA13" s="27"/>
      <c r="CB13" s="27"/>
      <c r="CC13" s="28"/>
      <c r="CF13" s="25"/>
      <c r="CG13" s="26"/>
      <c r="CH13" s="26"/>
      <c r="CI13" s="26"/>
      <c r="CJ13" s="26"/>
      <c r="CK13" s="26"/>
      <c r="CL13" s="26"/>
      <c r="CM13" s="26"/>
      <c r="CN13" s="26"/>
      <c r="CO13" s="26"/>
      <c r="CP13" s="27"/>
      <c r="CQ13" s="27"/>
      <c r="CR13" s="28"/>
      <c r="CZ13" s="9" t="s">
        <v>189</v>
      </c>
      <c r="DA13" s="14">
        <f>(INDEX('3. Workings'!$D$12:$F$12,MATCH($BH$4,'3. Workings'!$D$6:$F$6,0)))*(INDEX('3. Workings'!$D$19:$F$19,MATCH($BH$4,'3. Workings'!$D$6:$F$6,0)))+(1-(INDEX('3. Workings'!$D$12:$F$12,MATCH($BH$4,'3. Workings'!$D$6:$F$6,0))))*(INDEX('1. Assumptions and Sources'!$D$23:$D$45,MATCH("Manual touches per claim today",'1. Assumptions and Sources'!$C$23:$C$45,0)))</f>
        <v>1.23</v>
      </c>
      <c r="DH13" s="14" t="s">
        <v>190</v>
      </c>
      <c r="DI13" s="24">
        <f>INDEX('3. Workings'!$D$108:$F$108,MATCH($BH$4,'3. Workings'!$D$100:$F$100,0))</f>
        <v>178299.80321688892</v>
      </c>
    </row>
    <row r="14" spans="3:113" ht="16.05" customHeight="1" x14ac:dyDescent="0.3">
      <c r="C14" s="29"/>
      <c r="D14" s="29"/>
      <c r="E14" s="29"/>
      <c r="F14" s="29"/>
      <c r="G14" s="29"/>
      <c r="H14" s="29"/>
      <c r="I14" s="29"/>
      <c r="J14" s="29"/>
      <c r="K14" s="29"/>
      <c r="L14" s="29"/>
      <c r="R14" s="29"/>
      <c r="S14" s="29"/>
      <c r="T14" s="29"/>
      <c r="U14" s="29"/>
      <c r="V14" s="29"/>
      <c r="W14" s="29"/>
      <c r="X14" s="29"/>
      <c r="Y14" s="29"/>
      <c r="Z14" s="29"/>
      <c r="AM14" s="29"/>
      <c r="AN14" s="29"/>
      <c r="AO14" s="29"/>
      <c r="AP14" s="29"/>
      <c r="AQ14" s="29"/>
      <c r="AR14" s="29"/>
      <c r="AS14" s="29"/>
      <c r="AT14" s="29"/>
      <c r="AU14" s="29"/>
      <c r="AV14" s="29"/>
      <c r="BB14" s="29"/>
      <c r="BC14" s="29"/>
      <c r="BD14" s="29"/>
      <c r="BE14" s="29"/>
      <c r="BF14" s="29"/>
      <c r="BG14" s="29"/>
      <c r="BH14" s="29"/>
      <c r="BI14" s="29"/>
      <c r="BJ14" s="29"/>
      <c r="BK14" s="29"/>
      <c r="BQ14" s="29"/>
      <c r="BR14" s="29"/>
      <c r="BS14" s="29"/>
      <c r="BT14" s="29"/>
      <c r="BU14" s="29"/>
      <c r="BV14" s="29"/>
      <c r="BW14" s="29"/>
      <c r="BX14" s="29"/>
      <c r="BY14" s="29"/>
      <c r="BZ14" s="29"/>
      <c r="CF14" s="29"/>
      <c r="CG14" s="29"/>
      <c r="CH14" s="29"/>
      <c r="CI14" s="29"/>
      <c r="CJ14" s="29"/>
      <c r="CK14" s="29"/>
      <c r="CL14" s="29"/>
      <c r="CM14" s="29"/>
      <c r="CN14" s="29"/>
      <c r="CO14" s="29"/>
      <c r="DB14" s="10" t="s">
        <v>191</v>
      </c>
      <c r="DH14" s="14" t="s">
        <v>192</v>
      </c>
      <c r="DI14" s="24">
        <f>INDEX('3. Workings'!$D$109:$F$109,MATCH($BH$4,'3. Workings'!$D$100:$F$100,0))</f>
        <v>96007.586347555567</v>
      </c>
    </row>
    <row r="15" spans="3:113" ht="16.05" customHeight="1" x14ac:dyDescent="0.3">
      <c r="C15" s="29"/>
      <c r="D15" s="29"/>
      <c r="E15" s="29"/>
      <c r="F15" s="29"/>
      <c r="G15" s="29"/>
      <c r="H15" s="29"/>
      <c r="I15" s="29"/>
      <c r="J15" s="29"/>
      <c r="K15" s="29"/>
      <c r="L15" s="29"/>
      <c r="R15" s="29"/>
      <c r="S15" s="29"/>
      <c r="T15" s="29"/>
      <c r="U15" s="29"/>
      <c r="V15" s="29"/>
      <c r="W15" s="29"/>
      <c r="X15" s="29"/>
      <c r="Y15" s="29"/>
      <c r="Z15" s="29"/>
      <c r="AM15" s="29"/>
      <c r="AN15" s="29"/>
      <c r="AO15" s="29"/>
      <c r="AP15" s="29"/>
      <c r="AQ15" s="29"/>
      <c r="AR15" s="29"/>
      <c r="AS15" s="29"/>
      <c r="AT15" s="29"/>
      <c r="AU15" s="29"/>
      <c r="AV15" s="29"/>
      <c r="BB15" s="29"/>
      <c r="BC15" s="29"/>
      <c r="BD15" s="29"/>
      <c r="BE15" s="29"/>
      <c r="BF15" s="29"/>
      <c r="BG15" s="29"/>
      <c r="BH15" s="29"/>
      <c r="BI15" s="29"/>
      <c r="BJ15" s="29"/>
      <c r="BK15" s="29"/>
      <c r="BQ15" s="29"/>
      <c r="BR15" s="29"/>
      <c r="BS15" s="29"/>
      <c r="BT15" s="29"/>
      <c r="BU15" s="29"/>
      <c r="BV15" s="29"/>
      <c r="BW15" s="29"/>
      <c r="BX15" s="29"/>
      <c r="BY15" s="29"/>
      <c r="BZ15" s="29"/>
      <c r="CF15" s="29"/>
      <c r="CG15" s="29"/>
      <c r="CH15" s="29"/>
      <c r="CI15" s="29"/>
      <c r="CJ15" s="29"/>
      <c r="CK15" s="29"/>
      <c r="CL15" s="29"/>
      <c r="CM15" s="29"/>
      <c r="CN15" s="29"/>
      <c r="CO15" s="29"/>
      <c r="DH15" s="14" t="s">
        <v>193</v>
      </c>
      <c r="DI15" s="15">
        <f>INDEX('3. Workings'!$D$106:$F$106,MATCH($BH$4,'3. Workings'!$D$100:$F$100,0))</f>
        <v>7.09</v>
      </c>
    </row>
    <row r="16" spans="3:113" ht="16.05" customHeight="1" x14ac:dyDescent="0.3">
      <c r="C16" s="30"/>
      <c r="D16" s="31"/>
      <c r="E16" s="31"/>
      <c r="F16" s="31"/>
      <c r="G16" s="31"/>
      <c r="H16" s="31"/>
      <c r="I16" s="31"/>
      <c r="J16" s="31"/>
      <c r="K16" s="31"/>
      <c r="L16" s="31"/>
      <c r="M16" s="32"/>
      <c r="N16" s="32"/>
      <c r="O16" s="32"/>
      <c r="P16" s="32"/>
      <c r="Q16" s="32"/>
      <c r="R16" s="31"/>
      <c r="S16" s="31"/>
      <c r="T16" s="31"/>
      <c r="U16" s="31"/>
      <c r="V16" s="31"/>
      <c r="W16" s="31"/>
      <c r="X16" s="31"/>
      <c r="Y16" s="31"/>
      <c r="Z16" s="31"/>
      <c r="AA16" s="32"/>
      <c r="AB16" s="32"/>
      <c r="AC16" s="32"/>
      <c r="AD16" s="32"/>
      <c r="AE16" s="32"/>
      <c r="AF16" s="32"/>
      <c r="AG16" s="32"/>
      <c r="AH16" s="32"/>
      <c r="AI16" s="32"/>
      <c r="AJ16" s="32"/>
      <c r="AK16" s="32"/>
      <c r="AL16" s="32"/>
      <c r="AM16" s="31"/>
      <c r="AN16" s="31"/>
      <c r="AO16" s="31"/>
      <c r="AP16" s="31"/>
      <c r="AQ16" s="31"/>
      <c r="AR16" s="31"/>
      <c r="AS16" s="31"/>
      <c r="AT16" s="31"/>
      <c r="AU16" s="31"/>
      <c r="AV16" s="31"/>
      <c r="AW16" s="32"/>
      <c r="AX16" s="32"/>
      <c r="AY16" s="32"/>
      <c r="AZ16" s="32"/>
      <c r="BA16" s="32"/>
      <c r="BB16" s="31"/>
      <c r="BC16" s="31"/>
      <c r="BD16" s="31"/>
      <c r="BE16" s="31"/>
      <c r="BF16" s="31"/>
      <c r="BG16" s="31"/>
      <c r="BH16" s="31"/>
      <c r="BI16" s="31"/>
      <c r="BJ16" s="31"/>
      <c r="BK16" s="31"/>
      <c r="BL16" s="32"/>
      <c r="BM16" s="32"/>
      <c r="BN16" s="32"/>
      <c r="BO16" s="32"/>
      <c r="BP16" s="32"/>
      <c r="BQ16" s="31"/>
      <c r="BR16" s="31"/>
      <c r="BS16" s="31"/>
      <c r="BT16" s="31"/>
      <c r="BU16" s="31"/>
      <c r="BV16" s="31"/>
      <c r="BW16" s="31"/>
      <c r="BX16" s="31"/>
      <c r="BY16" s="31"/>
      <c r="BZ16" s="31"/>
      <c r="CA16" s="32"/>
      <c r="CB16" s="32"/>
      <c r="CC16" s="32"/>
      <c r="CD16" s="32"/>
      <c r="CE16" s="32"/>
      <c r="CF16" s="31"/>
      <c r="CG16" s="31"/>
      <c r="CH16" s="31"/>
      <c r="CI16" s="31"/>
      <c r="CJ16" s="31"/>
      <c r="CK16" s="31"/>
      <c r="CL16" s="160" t="str">
        <f>"Selected scenario: "&amp;$BH$4</f>
        <v>Selected scenario: Aggressive</v>
      </c>
      <c r="CM16" s="160"/>
      <c r="CN16" s="160"/>
      <c r="CO16" s="160"/>
      <c r="CP16" s="160"/>
      <c r="CQ16" s="160"/>
      <c r="CR16" s="160"/>
      <c r="CS16" s="160"/>
      <c r="CZ16" s="10" t="s">
        <v>194</v>
      </c>
      <c r="DB16" s="12" t="s">
        <v>195</v>
      </c>
      <c r="DC16" s="12" t="s">
        <v>6</v>
      </c>
      <c r="DD16" s="7" t="s">
        <v>196</v>
      </c>
      <c r="DH16" s="14" t="s">
        <v>197</v>
      </c>
      <c r="DI16" s="33">
        <f>INDEX('3. Workings'!$D$110:$F$110,MATCH($BH$4,'3. Workings'!$D$100:$F$100,0))</f>
        <v>0</v>
      </c>
    </row>
    <row r="17" spans="3:113" ht="16.05" customHeight="1" x14ac:dyDescent="0.3">
      <c r="C17" s="34"/>
      <c r="D17" s="29"/>
      <c r="E17" s="29"/>
      <c r="F17" s="29"/>
      <c r="G17" s="29"/>
      <c r="H17" s="29"/>
      <c r="I17" s="29"/>
      <c r="J17" s="29"/>
      <c r="K17" s="29"/>
      <c r="L17" s="29"/>
      <c r="R17" s="29"/>
      <c r="S17" s="29"/>
      <c r="T17" s="29"/>
      <c r="U17" s="29"/>
      <c r="V17" s="29"/>
      <c r="W17" s="29"/>
      <c r="X17" s="29"/>
      <c r="Y17" s="29"/>
      <c r="Z17" s="29"/>
      <c r="AM17" s="29"/>
      <c r="AN17" s="29"/>
      <c r="AO17" s="29"/>
      <c r="AP17" s="29"/>
      <c r="AQ17" s="29"/>
      <c r="AR17" s="29"/>
      <c r="AS17" s="29"/>
      <c r="AT17" s="29"/>
      <c r="AU17" s="29"/>
      <c r="AV17" s="29"/>
      <c r="BI17" s="29"/>
      <c r="BJ17" s="29"/>
      <c r="BK17" s="29"/>
      <c r="BQ17" s="29"/>
      <c r="BR17" s="29"/>
      <c r="BS17" s="29"/>
      <c r="BT17" s="29"/>
      <c r="BU17" s="29"/>
      <c r="BV17" s="29"/>
      <c r="BW17" s="29"/>
      <c r="BX17" s="29"/>
      <c r="BY17" s="29"/>
      <c r="BZ17" s="29"/>
      <c r="CF17" s="29"/>
      <c r="CG17" s="29"/>
      <c r="CH17" s="29"/>
      <c r="CI17" s="29"/>
      <c r="CJ17" s="29"/>
      <c r="CK17" s="29"/>
      <c r="CL17" s="160"/>
      <c r="CM17" s="160"/>
      <c r="CN17" s="160"/>
      <c r="CO17" s="160"/>
      <c r="CP17" s="160"/>
      <c r="CQ17" s="160"/>
      <c r="CR17" s="160"/>
      <c r="CS17" s="160"/>
      <c r="CZ17" s="12" t="s">
        <v>155</v>
      </c>
      <c r="DA17" s="12" t="s">
        <v>6</v>
      </c>
      <c r="DB17" s="14" t="s">
        <v>198</v>
      </c>
      <c r="DC17" s="16">
        <f>INDEX('3. Workings'!$D$59:$F$59,MATCH($BH$4,'3. Workings'!$D$58:$F$58,0))</f>
        <v>3.1369714646107192</v>
      </c>
    </row>
    <row r="18" spans="3:113" ht="16.05" customHeight="1" x14ac:dyDescent="0.25">
      <c r="C18" s="34"/>
      <c r="D18" s="161" t="str">
        <f>"WHERE THE GROSS BENEFIT LANDS  ·  ₹"&amp;TEXT(DI6+DI7+DI8,"0.0")&amp;" Cr"</f>
        <v>WHERE THE GROSS BENEFIT LANDS  ·  ₹80.6 Cr</v>
      </c>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D18" s="35"/>
      <c r="AG18" s="161" t="s">
        <v>199</v>
      </c>
      <c r="AH18" s="161"/>
      <c r="AI18" s="161"/>
      <c r="AJ18" s="161"/>
      <c r="AK18" s="161"/>
      <c r="AL18" s="161"/>
      <c r="AM18" s="161"/>
      <c r="AN18" s="161"/>
      <c r="AO18" s="161"/>
      <c r="AP18" s="161"/>
      <c r="AQ18" s="161"/>
      <c r="AR18" s="161"/>
      <c r="AS18" s="161"/>
      <c r="AT18" s="161"/>
      <c r="AU18" s="161"/>
      <c r="AV18" s="161"/>
      <c r="AW18" s="161"/>
      <c r="AX18" s="161"/>
      <c r="AY18" s="161"/>
      <c r="AZ18" s="161"/>
      <c r="BA18" s="161"/>
      <c r="BB18" s="161"/>
      <c r="BC18" s="161"/>
      <c r="BD18" s="161"/>
      <c r="BF18" s="35"/>
      <c r="BI18" s="161" t="s">
        <v>200</v>
      </c>
      <c r="BJ18" s="161"/>
      <c r="BK18" s="161"/>
      <c r="BL18" s="161"/>
      <c r="BM18" s="161"/>
      <c r="BN18" s="161"/>
      <c r="BO18" s="161"/>
      <c r="BP18" s="161"/>
      <c r="BQ18" s="161"/>
      <c r="BR18" s="161"/>
      <c r="BS18" s="161"/>
      <c r="BT18" s="161"/>
      <c r="BU18" s="161"/>
      <c r="BV18" s="161"/>
      <c r="BW18" s="161"/>
      <c r="BX18" s="161"/>
      <c r="BY18" s="161"/>
      <c r="BZ18" s="161"/>
      <c r="CA18" s="161"/>
      <c r="CB18" s="161"/>
      <c r="CC18" s="161"/>
      <c r="CD18" s="161"/>
      <c r="CE18" s="161"/>
      <c r="CF18" s="161"/>
      <c r="CG18" s="161"/>
      <c r="CH18" s="161"/>
      <c r="CI18" s="161"/>
      <c r="CJ18" s="161"/>
      <c r="CK18" s="161"/>
      <c r="CL18" s="161"/>
      <c r="CM18" s="161"/>
      <c r="CN18" s="161"/>
      <c r="CO18" s="161"/>
      <c r="CP18" s="161"/>
      <c r="CQ18" s="161"/>
      <c r="CS18" s="36"/>
      <c r="CZ18" s="9" t="s">
        <v>201</v>
      </c>
      <c r="DA18" s="14">
        <f>(INDEX('3. Workings'!$D$11:$F$11,MATCH($BH$4,'3. Workings'!$D$6:$F$6,0)))*(INDEX('1. Assumptions and Sources'!$D$23:$D$45,MATCH("Manual touches per claim today",'1. Assumptions and Sources'!$C$23:$C$45,0)))</f>
        <v>1920151.7269511113</v>
      </c>
      <c r="DB18" s="14" t="s">
        <v>202</v>
      </c>
      <c r="DC18" s="16">
        <f>INDEX('3. Workings'!$D$60:$F$60,MATCH($BH$4,'3. Workings'!$D$58:$F$58,0))</f>
        <v>0.3398394249313903</v>
      </c>
      <c r="DD18" s="9" t="s">
        <v>203</v>
      </c>
      <c r="DH18" s="10" t="s">
        <v>204</v>
      </c>
    </row>
    <row r="19" spans="3:113" ht="16.05" customHeight="1" x14ac:dyDescent="0.25">
      <c r="C19" s="34"/>
      <c r="D19" s="29"/>
      <c r="E19" s="29"/>
      <c r="F19" s="29"/>
      <c r="G19" s="29"/>
      <c r="H19" s="29"/>
      <c r="I19" s="29"/>
      <c r="J19" s="29"/>
      <c r="K19" s="29"/>
      <c r="L19" s="29"/>
      <c r="R19" s="29"/>
      <c r="S19" s="29"/>
      <c r="T19" s="29"/>
      <c r="U19" s="29"/>
      <c r="V19" s="29"/>
      <c r="W19" s="29"/>
      <c r="X19" s="29"/>
      <c r="Y19" s="29"/>
      <c r="Z19" s="29"/>
      <c r="AD19" s="35"/>
      <c r="AM19" s="29"/>
      <c r="AN19" s="29"/>
      <c r="AO19" s="29"/>
      <c r="AP19" s="29"/>
      <c r="AQ19" s="29"/>
      <c r="AR19" s="29"/>
      <c r="AS19" s="29"/>
      <c r="AT19" s="29"/>
      <c r="AU19" s="29"/>
      <c r="AV19" s="29"/>
      <c r="BF19" s="35"/>
      <c r="BM19" s="29"/>
      <c r="BN19" s="29"/>
      <c r="BO19" s="29"/>
      <c r="BU19" s="29"/>
      <c r="BV19" s="29"/>
      <c r="BW19" s="29"/>
      <c r="BX19" s="29"/>
      <c r="BY19" s="29"/>
      <c r="BZ19" s="29"/>
      <c r="CA19" s="29"/>
      <c r="CB19" s="29"/>
      <c r="CC19" s="29"/>
      <c r="CD19" s="29"/>
      <c r="CJ19" s="29"/>
      <c r="CK19" s="29"/>
      <c r="CL19" s="29"/>
      <c r="CM19" s="29"/>
      <c r="CN19" s="29"/>
      <c r="CO19" s="29"/>
      <c r="CP19" s="29"/>
      <c r="CQ19" s="29"/>
      <c r="CS19" s="36"/>
      <c r="CZ19" s="9" t="s">
        <v>205</v>
      </c>
      <c r="DA19" s="14">
        <f>(INDEX('3.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f>
        <v>337398.08916426671</v>
      </c>
      <c r="DB19" s="14" t="s">
        <v>206</v>
      </c>
      <c r="DC19" s="16">
        <f>INDEX('3. Workings'!$D$61:$F$61,MATCH($BH$4,'3. Workings'!$D$58:$F$58,0))</f>
        <v>0.80052000000000001</v>
      </c>
      <c r="DD19" s="12" t="s">
        <v>155</v>
      </c>
      <c r="DE19" s="12" t="s">
        <v>6</v>
      </c>
      <c r="DH19" s="12" t="s">
        <v>155</v>
      </c>
      <c r="DI19" s="12" t="s">
        <v>6</v>
      </c>
    </row>
    <row r="20" spans="3:113" ht="16.05" customHeight="1" x14ac:dyDescent="0.25">
      <c r="C20" s="34"/>
      <c r="D20" s="29"/>
      <c r="E20" s="29"/>
      <c r="F20" s="29"/>
      <c r="G20" s="29"/>
      <c r="H20" s="29"/>
      <c r="I20" s="29"/>
      <c r="J20" s="29"/>
      <c r="K20" s="29"/>
      <c r="L20" s="29"/>
      <c r="R20" s="29"/>
      <c r="S20" s="29"/>
      <c r="T20" s="29"/>
      <c r="U20" s="29"/>
      <c r="V20" s="29"/>
      <c r="W20" s="29"/>
      <c r="X20" s="29"/>
      <c r="Y20" s="29"/>
      <c r="Z20" s="29"/>
      <c r="AD20" s="35"/>
      <c r="AH20" s="162" t="str">
        <f>TEXT(DI12/100000,"0.0")&amp;" lakh claimant-days returned"</f>
        <v>19.4 lakh claimant-days returned</v>
      </c>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F20" s="35"/>
      <c r="BM20" s="29"/>
      <c r="BN20" s="29"/>
      <c r="BO20" s="29"/>
      <c r="BU20" s="29"/>
      <c r="BV20" s="29"/>
      <c r="BW20" s="29"/>
      <c r="BX20" s="29"/>
      <c r="BY20" s="29"/>
      <c r="BZ20" s="29"/>
      <c r="CA20" s="29"/>
      <c r="CB20" s="29"/>
      <c r="CC20" s="29"/>
      <c r="CD20" s="29"/>
      <c r="CJ20" s="29"/>
      <c r="CK20" s="29"/>
      <c r="CL20" s="29"/>
      <c r="CM20" s="29"/>
      <c r="CN20" s="29"/>
      <c r="CO20" s="29"/>
      <c r="CP20" s="29"/>
      <c r="CQ20" s="29"/>
      <c r="CS20" s="36"/>
      <c r="DB20" s="14" t="s">
        <v>207</v>
      </c>
      <c r="DC20" s="16">
        <f>INDEX('3. Workings'!$D$62:$F$62,MATCH($BH$4,'3. Workings'!$D$58:$F$58,0))</f>
        <v>0.64400040000000003</v>
      </c>
      <c r="DD20" s="9" t="s">
        <v>208</v>
      </c>
      <c r="DE20" s="15">
        <f>INDEX('3. Workings'!$D$80:$F$80,MATCH($BH$4,'3. Workings'!$D$77:$F$77,0))</f>
        <v>2.365605263157895</v>
      </c>
      <c r="DH20" s="14" t="s">
        <v>209</v>
      </c>
      <c r="DI20" s="24">
        <f>INDEX('3. Workings'!$D$111:$F$111,MATCH($BH$4,'3. Workings'!$D$100:$F$100,0))</f>
        <v>1582753.6377868445</v>
      </c>
    </row>
    <row r="21" spans="3:113" ht="16.05" customHeight="1" x14ac:dyDescent="0.25">
      <c r="C21" s="34"/>
      <c r="D21" s="29"/>
      <c r="E21" s="29"/>
      <c r="F21" s="29"/>
      <c r="G21" s="29"/>
      <c r="H21" s="29"/>
      <c r="I21" s="29"/>
      <c r="J21" s="29"/>
      <c r="K21" s="29"/>
      <c r="L21" s="29"/>
      <c r="R21" s="29"/>
      <c r="S21" s="29"/>
      <c r="T21" s="29"/>
      <c r="U21" s="29"/>
      <c r="V21" s="29"/>
      <c r="W21" s="29"/>
      <c r="X21" s="29"/>
      <c r="Y21" s="29"/>
      <c r="Z21" s="29"/>
      <c r="AD21" s="35"/>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F21" s="35"/>
      <c r="BM21" s="29"/>
      <c r="BN21" s="29"/>
      <c r="BO21" s="29"/>
      <c r="BU21" s="29"/>
      <c r="BV21" s="29"/>
      <c r="BW21" s="29"/>
      <c r="BX21" s="29"/>
      <c r="BY21" s="29"/>
      <c r="BZ21" s="29"/>
      <c r="CA21" s="29"/>
      <c r="CB21" s="29"/>
      <c r="CC21" s="29"/>
      <c r="CD21" s="29"/>
      <c r="CJ21" s="29"/>
      <c r="CK21" s="29"/>
      <c r="CL21" s="29"/>
      <c r="CM21" s="29"/>
      <c r="CN21" s="29"/>
      <c r="CO21" s="29"/>
      <c r="CP21" s="29"/>
      <c r="CQ21" s="29"/>
      <c r="CS21" s="36"/>
      <c r="CZ21" s="10" t="s">
        <v>210</v>
      </c>
      <c r="DB21" s="14" t="s">
        <v>211</v>
      </c>
      <c r="DC21" s="16">
        <f>INDEX('3. Workings'!$D$63:$F$63,MATCH($BH$4,'3. Workings'!$D$58:$F$58,0))</f>
        <v>0.24999959999999999</v>
      </c>
      <c r="DD21" s="9" t="s">
        <v>212</v>
      </c>
      <c r="DE21" s="15">
        <f>INDEX('3. Workings'!$D$81:$F$81,MATCH($BH$4,'3. Workings'!$D$77:$F$77,0))</f>
        <v>2.1257719892710845</v>
      </c>
      <c r="DH21" s="14" t="s">
        <v>213</v>
      </c>
      <c r="DI21" s="24">
        <f>INDEX('3. Workings'!$D$112:$F$112,MATCH($BH$4,'3. Workings'!$D$100:$F$100,0))</f>
        <v>527584.54592894821</v>
      </c>
    </row>
    <row r="22" spans="3:113" ht="16.05" customHeight="1" x14ac:dyDescent="0.25">
      <c r="C22" s="34"/>
      <c r="D22" s="29"/>
      <c r="E22" s="29"/>
      <c r="F22" s="29"/>
      <c r="G22" s="29"/>
      <c r="H22" s="29"/>
      <c r="I22" s="29"/>
      <c r="J22" s="29"/>
      <c r="K22" s="29"/>
      <c r="L22" s="29"/>
      <c r="R22" s="29"/>
      <c r="S22" s="29"/>
      <c r="T22" s="29"/>
      <c r="U22" s="29"/>
      <c r="V22" s="29"/>
      <c r="W22" s="29"/>
      <c r="X22" s="29"/>
      <c r="Y22" s="29"/>
      <c r="Z22" s="29"/>
      <c r="AD22" s="35"/>
      <c r="BF22" s="35"/>
      <c r="BM22" s="29"/>
      <c r="BN22" s="29"/>
      <c r="BO22" s="29"/>
      <c r="BU22" s="29"/>
      <c r="BV22" s="29"/>
      <c r="BW22" s="29"/>
      <c r="BX22" s="29"/>
      <c r="BY22" s="29"/>
      <c r="BZ22" s="29"/>
      <c r="CA22" s="29"/>
      <c r="CB22" s="29"/>
      <c r="CC22" s="29"/>
      <c r="CD22" s="29"/>
      <c r="CJ22" s="29"/>
      <c r="CK22" s="29"/>
      <c r="CL22" s="29"/>
      <c r="CM22" s="29"/>
      <c r="CN22" s="29"/>
      <c r="CO22" s="29"/>
      <c r="CP22" s="29"/>
      <c r="CQ22" s="29"/>
      <c r="CS22" s="36"/>
      <c r="CZ22" s="12" t="s">
        <v>155</v>
      </c>
      <c r="DA22" s="12" t="s">
        <v>6</v>
      </c>
      <c r="DB22" s="14" t="s">
        <v>214</v>
      </c>
      <c r="DC22" s="16">
        <f>INDEX('3. Workings'!$D$64:$F$64,MATCH($BH$4,'3. Workings'!$D$58:$F$58,0))</f>
        <v>0.12</v>
      </c>
      <c r="DD22" s="9" t="s">
        <v>215</v>
      </c>
      <c r="DE22" s="37">
        <f>INDEX('3. Workings'!$D$82:$F$82,MATCH($BH$4,'3. Workings'!$D$77:$F$77,0))</f>
        <v>4.491377252428979</v>
      </c>
      <c r="DH22" s="14" t="s">
        <v>49</v>
      </c>
      <c r="DI22" s="15">
        <f>INDEX('3. Workings'!$D$113:$F$113,MATCH($BH$4,'3. Workings'!$D$100:$F$100,0))</f>
        <v>293.10252551608232</v>
      </c>
    </row>
    <row r="23" spans="3:113" ht="16.05" customHeight="1" x14ac:dyDescent="0.25">
      <c r="C23" s="34"/>
      <c r="D23" s="29"/>
      <c r="E23" s="29"/>
      <c r="F23" s="29"/>
      <c r="G23" s="29"/>
      <c r="H23" s="29"/>
      <c r="I23" s="29"/>
      <c r="J23" s="29"/>
      <c r="K23" s="29"/>
      <c r="L23" s="29"/>
      <c r="R23" s="29"/>
      <c r="S23" s="29"/>
      <c r="T23" s="29"/>
      <c r="U23" s="29"/>
      <c r="V23" s="29"/>
      <c r="W23" s="29"/>
      <c r="X23" s="29"/>
      <c r="Y23" s="29"/>
      <c r="Z23" s="29"/>
      <c r="AD23" s="35"/>
      <c r="AM23" s="29"/>
      <c r="AN23" s="29"/>
      <c r="AO23" s="29"/>
      <c r="AP23" s="29"/>
      <c r="AQ23" s="29"/>
      <c r="AR23" s="29"/>
      <c r="AS23" s="29"/>
      <c r="AT23" s="29"/>
      <c r="AU23" s="29"/>
      <c r="AV23" s="29"/>
      <c r="BB23" s="29"/>
      <c r="BC23" s="29"/>
      <c r="BD23" s="29"/>
      <c r="BF23" s="35"/>
      <c r="BI23" s="29"/>
      <c r="BJ23" s="29"/>
      <c r="BK23" s="29"/>
      <c r="BL23" s="29"/>
      <c r="BM23" s="29"/>
      <c r="BN23" s="29"/>
      <c r="BO23" s="29"/>
      <c r="BU23" s="29"/>
      <c r="BV23" s="29"/>
      <c r="BW23" s="29"/>
      <c r="BX23" s="29"/>
      <c r="BY23" s="29"/>
      <c r="BZ23" s="29"/>
      <c r="CA23" s="29"/>
      <c r="CB23" s="29"/>
      <c r="CC23" s="29"/>
      <c r="CD23" s="29"/>
      <c r="CJ23" s="29"/>
      <c r="CK23" s="29"/>
      <c r="CL23" s="29"/>
      <c r="CM23" s="29"/>
      <c r="CN23" s="29"/>
      <c r="CO23" s="29"/>
      <c r="CP23" s="29"/>
      <c r="CQ23" s="29"/>
      <c r="CS23" s="36"/>
      <c r="CZ23" s="9" t="s">
        <v>216</v>
      </c>
      <c r="DA23" s="38">
        <f>INDEX('1. Assumptions and Sources'!$D$23:$D$45,MATCH("Green lane share",'1. Assumptions and Sources'!$C$23:$C$45,0))</f>
        <v>0.65</v>
      </c>
      <c r="DB23" s="12" t="s">
        <v>217</v>
      </c>
      <c r="DC23" s="16">
        <f>INDEX('3. Workings'!$D$65:$F$65,MATCH($BH$4,'3. Workings'!$D$58:$F$58,0))</f>
        <v>5.2913308895421096</v>
      </c>
      <c r="DH23" s="14" t="s">
        <v>218</v>
      </c>
      <c r="DI23" s="15">
        <f>INDEX('3. Workings'!$D$114:$F$114,MATCH($BH$4,'3. Workings'!$D$100:$F$100,0))</f>
        <v>5.691056910569106</v>
      </c>
    </row>
    <row r="24" spans="3:113" ht="16.05" customHeight="1" x14ac:dyDescent="0.25">
      <c r="C24" s="34"/>
      <c r="D24" s="29"/>
      <c r="E24" s="29"/>
      <c r="F24" s="29"/>
      <c r="G24" s="29"/>
      <c r="H24" s="29"/>
      <c r="I24" s="29"/>
      <c r="J24" s="29"/>
      <c r="K24" s="29"/>
      <c r="L24" s="29"/>
      <c r="R24" s="29"/>
      <c r="S24" s="29"/>
      <c r="T24" s="29"/>
      <c r="U24" s="29"/>
      <c r="V24" s="29"/>
      <c r="W24" s="29"/>
      <c r="X24" s="29"/>
      <c r="Y24" s="29"/>
      <c r="Z24" s="29"/>
      <c r="AD24" s="35"/>
      <c r="AM24" s="29"/>
      <c r="AN24" s="29"/>
      <c r="AO24" s="29"/>
      <c r="AP24" s="29"/>
      <c r="AQ24" s="29"/>
      <c r="AR24" s="29"/>
      <c r="AS24" s="29"/>
      <c r="AT24" s="29"/>
      <c r="AU24" s="29"/>
      <c r="AV24" s="29"/>
      <c r="BB24" s="29"/>
      <c r="BC24" s="29"/>
      <c r="BD24" s="29"/>
      <c r="BF24" s="35"/>
      <c r="BI24" s="29"/>
      <c r="BJ24" s="29"/>
      <c r="BK24" s="29"/>
      <c r="BL24" s="29"/>
      <c r="BM24" s="29"/>
      <c r="BN24" s="29"/>
      <c r="BO24" s="29"/>
      <c r="BU24" s="29"/>
      <c r="BV24" s="29"/>
      <c r="BW24" s="29"/>
      <c r="BX24" s="29"/>
      <c r="BY24" s="29"/>
      <c r="BZ24" s="29"/>
      <c r="CA24" s="29"/>
      <c r="CB24" s="29"/>
      <c r="CC24" s="29"/>
      <c r="CD24" s="29"/>
      <c r="CJ24" s="29"/>
      <c r="CK24" s="29"/>
      <c r="CL24" s="29"/>
      <c r="CM24" s="29"/>
      <c r="CN24" s="29"/>
      <c r="CO24" s="29"/>
      <c r="CP24" s="29"/>
      <c r="CQ24" s="29"/>
      <c r="CS24" s="36"/>
      <c r="CZ24" s="9" t="s">
        <v>219</v>
      </c>
      <c r="DA24" s="38">
        <f>INDEX('1. Assumptions and Sources'!$D$23:$D$45,MATCH("Amber lane share",'1. Assumptions and Sources'!$C$23:$C$45,0))</f>
        <v>0.25</v>
      </c>
    </row>
    <row r="25" spans="3:113" ht="16.05" customHeight="1" x14ac:dyDescent="0.3">
      <c r="C25" s="34"/>
      <c r="D25" s="29"/>
      <c r="E25" s="29"/>
      <c r="F25" s="29"/>
      <c r="G25" s="29"/>
      <c r="H25" s="29"/>
      <c r="I25" s="29"/>
      <c r="J25" s="29"/>
      <c r="K25" s="29"/>
      <c r="L25" s="29"/>
      <c r="R25" s="29"/>
      <c r="S25" s="29"/>
      <c r="T25" s="29"/>
      <c r="U25" s="29"/>
      <c r="V25" s="29"/>
      <c r="W25" s="29"/>
      <c r="X25" s="29"/>
      <c r="Y25" s="29"/>
      <c r="Z25" s="29"/>
      <c r="AD25" s="35"/>
      <c r="AM25" s="29"/>
      <c r="AN25" s="29"/>
      <c r="AO25" s="29"/>
      <c r="AP25" s="29"/>
      <c r="AQ25" s="29"/>
      <c r="AR25" s="29"/>
      <c r="AS25" s="29"/>
      <c r="AT25" s="29"/>
      <c r="AU25" s="29"/>
      <c r="AV25" s="29"/>
      <c r="BB25" s="29"/>
      <c r="BC25" s="29"/>
      <c r="BD25" s="29"/>
      <c r="BF25" s="35"/>
      <c r="BI25" s="29"/>
      <c r="BJ25" s="29"/>
      <c r="BK25" s="29"/>
      <c r="BL25" s="29"/>
      <c r="BM25" s="29"/>
      <c r="BN25" s="29"/>
      <c r="BO25" s="29"/>
      <c r="BU25" s="29"/>
      <c r="BV25" s="29"/>
      <c r="BW25" s="29"/>
      <c r="BX25" s="29"/>
      <c r="BY25" s="29"/>
      <c r="BZ25" s="29"/>
      <c r="CA25" s="29"/>
      <c r="CB25" s="29"/>
      <c r="CC25" s="29"/>
      <c r="CD25" s="29"/>
      <c r="CJ25" s="29"/>
      <c r="CK25" s="29"/>
      <c r="CL25" s="29"/>
      <c r="CM25" s="29"/>
      <c r="CN25" s="29"/>
      <c r="CO25" s="29"/>
      <c r="CP25" s="29"/>
      <c r="CQ25" s="29"/>
      <c r="CS25" s="36"/>
      <c r="CZ25" s="4" t="s">
        <v>220</v>
      </c>
      <c r="DA25" s="38">
        <f>INDEX('1. Assumptions and Sources'!$D$23:$D$45,MATCH("Red lane share",'1. Assumptions and Sources'!$C$23:$C$45,0))</f>
        <v>0.1</v>
      </c>
      <c r="DB25" s="10" t="s">
        <v>221</v>
      </c>
      <c r="DH25" s="10" t="s">
        <v>222</v>
      </c>
    </row>
    <row r="26" spans="3:113" ht="16.05" customHeight="1" x14ac:dyDescent="0.3">
      <c r="C26" s="34"/>
      <c r="D26" s="29"/>
      <c r="E26" s="29"/>
      <c r="F26" s="29"/>
      <c r="G26" s="29"/>
      <c r="H26" s="29"/>
      <c r="I26" s="29"/>
      <c r="J26" s="29"/>
      <c r="K26" s="29"/>
      <c r="L26" s="29"/>
      <c r="R26" s="29"/>
      <c r="S26" s="29"/>
      <c r="T26" s="29"/>
      <c r="U26" s="29"/>
      <c r="V26" s="29"/>
      <c r="W26" s="29"/>
      <c r="X26" s="29"/>
      <c r="Y26" s="29"/>
      <c r="Z26" s="29"/>
      <c r="AD26" s="35"/>
      <c r="AM26" s="29"/>
      <c r="AN26" s="29"/>
      <c r="AO26" s="29"/>
      <c r="AP26" s="29"/>
      <c r="AQ26" s="29"/>
      <c r="AR26" s="29"/>
      <c r="AS26" s="29"/>
      <c r="AT26" s="29"/>
      <c r="AU26" s="29"/>
      <c r="AV26" s="29"/>
      <c r="BB26" s="29"/>
      <c r="BC26" s="29"/>
      <c r="BD26" s="29"/>
      <c r="BF26" s="35"/>
      <c r="BI26" s="29"/>
      <c r="BJ26" s="29"/>
      <c r="BK26" s="29"/>
      <c r="BL26" s="29"/>
      <c r="BM26" s="29"/>
      <c r="BN26" s="29"/>
      <c r="BO26" s="29"/>
      <c r="BU26" s="29"/>
      <c r="BV26" s="29"/>
      <c r="BW26" s="29"/>
      <c r="BX26" s="29"/>
      <c r="BY26" s="29"/>
      <c r="BZ26" s="29"/>
      <c r="CA26" s="29"/>
      <c r="CB26" s="29"/>
      <c r="CC26" s="29"/>
      <c r="CD26" s="29"/>
      <c r="CJ26" s="29"/>
      <c r="CK26" s="29"/>
      <c r="CL26" s="29"/>
      <c r="CM26" s="29"/>
      <c r="CN26" s="29"/>
      <c r="CO26" s="29"/>
      <c r="CP26" s="29"/>
      <c r="CQ26" s="29"/>
      <c r="CS26" s="36"/>
      <c r="DB26" s="12" t="s">
        <v>155</v>
      </c>
      <c r="DC26" s="12" t="s">
        <v>6</v>
      </c>
      <c r="DH26" s="12" t="s">
        <v>155</v>
      </c>
      <c r="DI26" s="12" t="s">
        <v>6</v>
      </c>
    </row>
    <row r="27" spans="3:113" ht="16.05" customHeight="1" x14ac:dyDescent="0.3">
      <c r="C27" s="34"/>
      <c r="D27" s="29"/>
      <c r="E27" s="29"/>
      <c r="F27" s="29"/>
      <c r="G27" s="29"/>
      <c r="H27" s="29"/>
      <c r="I27" s="29"/>
      <c r="J27" s="29"/>
      <c r="K27" s="29"/>
      <c r="L27" s="29"/>
      <c r="R27" s="29"/>
      <c r="S27" s="29"/>
      <c r="T27" s="29"/>
      <c r="U27" s="29"/>
      <c r="V27" s="29"/>
      <c r="W27" s="29"/>
      <c r="X27" s="29"/>
      <c r="Y27" s="29"/>
      <c r="Z27" s="29"/>
      <c r="AD27" s="35"/>
      <c r="AM27" s="29"/>
      <c r="AN27" s="29"/>
      <c r="AO27" s="29"/>
      <c r="AP27" s="29"/>
      <c r="AQ27" s="29"/>
      <c r="AR27" s="29"/>
      <c r="AS27" s="29"/>
      <c r="AT27" s="29"/>
      <c r="AU27" s="29"/>
      <c r="AV27" s="29"/>
      <c r="BB27" s="29"/>
      <c r="BC27" s="29"/>
      <c r="BD27" s="29"/>
      <c r="BF27" s="35"/>
      <c r="BI27" s="29"/>
      <c r="BJ27" s="29"/>
      <c r="BK27" s="29"/>
      <c r="BL27" s="29"/>
      <c r="BM27" s="29"/>
      <c r="BN27" s="29"/>
      <c r="BO27" s="29"/>
      <c r="BU27" s="29"/>
      <c r="BV27" s="29"/>
      <c r="BW27" s="29"/>
      <c r="BX27" s="29"/>
      <c r="BY27" s="29"/>
      <c r="BZ27" s="29"/>
      <c r="CA27" s="29"/>
      <c r="CB27" s="29"/>
      <c r="CC27" s="29"/>
      <c r="CD27" s="29"/>
      <c r="CJ27" s="29"/>
      <c r="CK27" s="29"/>
      <c r="CL27" s="29"/>
      <c r="CM27" s="29"/>
      <c r="CN27" s="29"/>
      <c r="CO27" s="29"/>
      <c r="CP27" s="29"/>
      <c r="CQ27" s="29"/>
      <c r="CS27" s="36"/>
      <c r="CZ27" s="10" t="s">
        <v>223</v>
      </c>
      <c r="DB27" s="14" t="s">
        <v>224</v>
      </c>
      <c r="DC27" s="16">
        <f>INDEX('3. Workings'!$D$69:$F$69,MATCH($BH$4,'3. Workings'!$D$68:$F$68,0))</f>
        <v>80.568844601317153</v>
      </c>
      <c r="DH27" s="14" t="s">
        <v>225</v>
      </c>
      <c r="DI27" s="24">
        <f>INDEX('3. Workings'!$D$115:$F$115,MATCH($BH$4,'3. Workings'!$D$100:$F$100,0))</f>
        <v>150869.06426044449</v>
      </c>
    </row>
    <row r="28" spans="3:113" ht="16.05" customHeight="1" x14ac:dyDescent="0.3">
      <c r="C28" s="34"/>
      <c r="D28" s="29"/>
      <c r="E28" s="29"/>
      <c r="F28" s="29"/>
      <c r="G28" s="29"/>
      <c r="H28" s="29"/>
      <c r="I28" s="29"/>
      <c r="J28" s="29"/>
      <c r="K28" s="29"/>
      <c r="L28" s="29"/>
      <c r="R28" s="29"/>
      <c r="S28" s="29"/>
      <c r="T28" s="29"/>
      <c r="U28" s="29"/>
      <c r="V28" s="29"/>
      <c r="W28" s="29"/>
      <c r="X28" s="29"/>
      <c r="Y28" s="29"/>
      <c r="Z28" s="29"/>
      <c r="AD28" s="35"/>
      <c r="AM28" s="29"/>
      <c r="AN28" s="29"/>
      <c r="AO28" s="29"/>
      <c r="AP28" s="29"/>
      <c r="AQ28" s="29"/>
      <c r="AR28" s="29"/>
      <c r="AS28" s="29"/>
      <c r="AT28" s="29"/>
      <c r="AU28" s="29"/>
      <c r="AV28" s="29"/>
      <c r="BB28" s="29"/>
      <c r="BC28" s="29"/>
      <c r="BD28" s="29"/>
      <c r="BF28" s="35"/>
      <c r="BI28" s="29"/>
      <c r="BJ28" s="29"/>
      <c r="BK28" s="29"/>
      <c r="BL28" s="29"/>
      <c r="BM28" s="29"/>
      <c r="BN28" s="29"/>
      <c r="BO28" s="29"/>
      <c r="BU28" s="29"/>
      <c r="BV28" s="29"/>
      <c r="BW28" s="29"/>
      <c r="BX28" s="29"/>
      <c r="BY28" s="29"/>
      <c r="BZ28" s="29"/>
      <c r="CA28" s="29"/>
      <c r="CB28" s="29"/>
      <c r="CC28" s="29"/>
      <c r="CD28" s="29"/>
      <c r="CJ28" s="29"/>
      <c r="CK28" s="29"/>
      <c r="CL28" s="29"/>
      <c r="CM28" s="29"/>
      <c r="CN28" s="29"/>
      <c r="CO28" s="29"/>
      <c r="CP28" s="29"/>
      <c r="CQ28" s="29"/>
      <c r="CS28" s="36"/>
      <c r="CZ28" s="12" t="s">
        <v>155</v>
      </c>
      <c r="DA28" s="12" t="s">
        <v>6</v>
      </c>
      <c r="DB28" s="14" t="s">
        <v>226</v>
      </c>
      <c r="DC28" s="14">
        <f>-INDEX('3. Workings'!$D$70:$F$70,MATCH($BH$4,'3. Workings'!$D$68:$F$68,0))</f>
        <v>-5.2913308895421096</v>
      </c>
      <c r="DH28" s="14" t="s">
        <v>227</v>
      </c>
      <c r="DI28" s="24">
        <f>INDEX('3. Workings'!$D$116:$F$116,MATCH($BH$4,'3. Workings'!$D$100:$F$100,0))</f>
        <v>27430.738956444449</v>
      </c>
    </row>
    <row r="29" spans="3:113" ht="16.05" customHeight="1" x14ac:dyDescent="0.3">
      <c r="C29" s="34"/>
      <c r="D29" s="29"/>
      <c r="E29" s="29"/>
      <c r="F29" s="29"/>
      <c r="G29" s="29"/>
      <c r="H29" s="29"/>
      <c r="I29" s="29"/>
      <c r="J29" s="29"/>
      <c r="K29" s="29"/>
      <c r="L29" s="29"/>
      <c r="R29" s="29"/>
      <c r="S29" s="29"/>
      <c r="T29" s="29"/>
      <c r="U29" s="29"/>
      <c r="V29" s="29"/>
      <c r="W29" s="29"/>
      <c r="X29" s="29"/>
      <c r="Y29" s="29"/>
      <c r="Z29" s="29"/>
      <c r="AD29" s="35"/>
      <c r="AM29" s="29"/>
      <c r="AN29" s="29"/>
      <c r="AO29" s="29"/>
      <c r="AP29" s="29"/>
      <c r="AQ29" s="29"/>
      <c r="AR29" s="29"/>
      <c r="AS29" s="29"/>
      <c r="AT29" s="29"/>
      <c r="AU29" s="29"/>
      <c r="AV29" s="29"/>
      <c r="BB29" s="29"/>
      <c r="BC29" s="29"/>
      <c r="BD29" s="29"/>
      <c r="BF29" s="35"/>
      <c r="BI29" s="29"/>
      <c r="BJ29" s="29"/>
      <c r="BK29" s="29"/>
      <c r="BL29" s="29"/>
      <c r="BM29" s="29"/>
      <c r="BN29" s="29"/>
      <c r="BO29" s="29"/>
      <c r="BU29" s="29"/>
      <c r="BV29" s="29"/>
      <c r="BW29" s="29"/>
      <c r="BX29" s="29"/>
      <c r="BY29" s="29"/>
      <c r="BZ29" s="29"/>
      <c r="CA29" s="29"/>
      <c r="CB29" s="29"/>
      <c r="CC29" s="29"/>
      <c r="CD29" s="29"/>
      <c r="CJ29" s="29"/>
      <c r="CK29" s="29"/>
      <c r="CL29" s="29"/>
      <c r="CM29" s="29"/>
      <c r="CN29" s="29"/>
      <c r="CO29" s="29"/>
      <c r="CP29" s="29"/>
      <c r="CQ29" s="29"/>
      <c r="CS29" s="36"/>
      <c r="CZ29" s="12"/>
      <c r="DA29" s="12"/>
      <c r="DB29" s="14" t="s">
        <v>228</v>
      </c>
      <c r="DC29" s="16">
        <f>INDEX('3. Workings'!$D$71:$F$71,MATCH($BH$4,'3. Workings'!$D$68:$F$68,0))</f>
        <v>75.277513711775043</v>
      </c>
      <c r="DH29" s="14" t="s">
        <v>229</v>
      </c>
      <c r="DI29" s="24">
        <f>INDEX('3. Workings'!$D$117:$F$117,MATCH($BH$4,'3. Workings'!$D$100:$F$100,0))</f>
        <v>123438.32530400004</v>
      </c>
    </row>
    <row r="30" spans="3:113" ht="16.05" customHeight="1" x14ac:dyDescent="0.3">
      <c r="C30" s="34"/>
      <c r="D30" s="29"/>
      <c r="E30" s="29"/>
      <c r="F30" s="29"/>
      <c r="G30" s="29"/>
      <c r="H30" s="29"/>
      <c r="I30" s="29"/>
      <c r="J30" s="29"/>
      <c r="K30" s="29"/>
      <c r="L30" s="29"/>
      <c r="R30" s="29"/>
      <c r="S30" s="29"/>
      <c r="T30" s="29"/>
      <c r="U30" s="29"/>
      <c r="V30" s="29"/>
      <c r="W30" s="29"/>
      <c r="X30" s="29"/>
      <c r="Y30" s="29"/>
      <c r="Z30" s="29"/>
      <c r="AD30" s="35"/>
      <c r="AM30" s="29"/>
      <c r="AN30" s="29"/>
      <c r="AO30" s="29"/>
      <c r="AP30" s="29"/>
      <c r="AQ30" s="29"/>
      <c r="AR30" s="29"/>
      <c r="AS30" s="29"/>
      <c r="AT30" s="29"/>
      <c r="AU30" s="29"/>
      <c r="AV30" s="29"/>
      <c r="BB30" s="29"/>
      <c r="BC30" s="29"/>
      <c r="BD30" s="29"/>
      <c r="BF30" s="35"/>
      <c r="BI30" s="29"/>
      <c r="BJ30" s="29"/>
      <c r="BK30" s="29"/>
      <c r="BL30" s="29"/>
      <c r="BM30" s="29"/>
      <c r="BN30" s="29"/>
      <c r="BO30" s="29"/>
      <c r="BU30" s="29"/>
      <c r="BV30" s="29"/>
      <c r="BW30" s="29"/>
      <c r="BX30" s="29"/>
      <c r="BY30" s="29"/>
      <c r="BZ30" s="29"/>
      <c r="CA30" s="29"/>
      <c r="CB30" s="29"/>
      <c r="CC30" s="29"/>
      <c r="CD30" s="29"/>
      <c r="CJ30" s="29"/>
      <c r="CK30" s="29"/>
      <c r="CL30" s="29"/>
      <c r="CM30" s="29"/>
      <c r="CN30" s="29"/>
      <c r="CO30" s="29"/>
      <c r="CP30" s="29"/>
      <c r="CQ30" s="29"/>
      <c r="CS30" s="36"/>
      <c r="CZ30" s="12"/>
      <c r="DA30" s="12"/>
    </row>
    <row r="31" spans="3:113" ht="16.05" customHeight="1" x14ac:dyDescent="0.3">
      <c r="C31" s="34"/>
      <c r="D31" s="29"/>
      <c r="E31" s="29"/>
      <c r="F31" s="29"/>
      <c r="G31" s="29"/>
      <c r="H31" s="29"/>
      <c r="I31" s="29"/>
      <c r="J31" s="29"/>
      <c r="K31" s="29"/>
      <c r="L31" s="29"/>
      <c r="R31" s="29"/>
      <c r="S31" s="29"/>
      <c r="T31" s="29"/>
      <c r="U31" s="29"/>
      <c r="V31" s="29"/>
      <c r="W31" s="29"/>
      <c r="X31" s="29"/>
      <c r="Y31" s="29"/>
      <c r="Z31" s="29"/>
      <c r="AD31" s="35"/>
      <c r="AM31" s="29"/>
      <c r="AN31" s="29"/>
      <c r="AO31" s="29"/>
      <c r="AP31" s="29"/>
      <c r="AQ31" s="29"/>
      <c r="AR31" s="29"/>
      <c r="AS31" s="29"/>
      <c r="AT31" s="29"/>
      <c r="AU31" s="29"/>
      <c r="AV31" s="29"/>
      <c r="BB31" s="29"/>
      <c r="BC31" s="29"/>
      <c r="BD31" s="29"/>
      <c r="BF31" s="35"/>
      <c r="BI31" s="29"/>
      <c r="BJ31" s="29"/>
      <c r="BK31" s="29"/>
      <c r="BL31" s="29"/>
      <c r="BM31" s="29"/>
      <c r="BN31" s="29"/>
      <c r="BO31" s="29"/>
      <c r="BU31" s="29"/>
      <c r="BV31" s="29"/>
      <c r="BW31" s="29"/>
      <c r="BX31" s="29"/>
      <c r="BY31" s="29"/>
      <c r="BZ31" s="29"/>
      <c r="CA31" s="29"/>
      <c r="CB31" s="29"/>
      <c r="CC31" s="29"/>
      <c r="CD31" s="29"/>
      <c r="CJ31" s="29"/>
      <c r="CK31" s="29"/>
      <c r="CL31" s="29"/>
      <c r="CM31" s="29"/>
      <c r="CN31" s="29"/>
      <c r="CO31" s="29"/>
      <c r="CP31" s="29"/>
      <c r="CQ31" s="29"/>
      <c r="CS31" s="36"/>
      <c r="CZ31" s="12"/>
      <c r="DA31" s="12"/>
      <c r="DH31" s="10" t="s">
        <v>230</v>
      </c>
    </row>
    <row r="32" spans="3:113" ht="16.05" customHeight="1" x14ac:dyDescent="0.25">
      <c r="C32" s="34"/>
      <c r="D32" s="29"/>
      <c r="E32" s="29"/>
      <c r="F32" s="29"/>
      <c r="G32" s="29"/>
      <c r="H32" s="29"/>
      <c r="I32" s="29"/>
      <c r="J32" s="29"/>
      <c r="K32" s="29"/>
      <c r="L32" s="29"/>
      <c r="R32" s="29"/>
      <c r="S32" s="29"/>
      <c r="T32" s="29"/>
      <c r="U32" s="29"/>
      <c r="V32" s="29"/>
      <c r="W32" s="29"/>
      <c r="X32" s="29"/>
      <c r="Y32" s="29"/>
      <c r="Z32" s="29"/>
      <c r="AD32" s="35"/>
      <c r="AM32" s="29"/>
      <c r="AN32" s="29"/>
      <c r="AO32" s="29"/>
      <c r="AP32" s="29"/>
      <c r="AQ32" s="29"/>
      <c r="AR32" s="29"/>
      <c r="AS32" s="29"/>
      <c r="AT32" s="29"/>
      <c r="AU32" s="29"/>
      <c r="AV32" s="29"/>
      <c r="BB32" s="29"/>
      <c r="BC32" s="29"/>
      <c r="BD32" s="29"/>
      <c r="BF32" s="35"/>
      <c r="BI32" s="29"/>
      <c r="BJ32" s="29"/>
      <c r="BK32" s="29"/>
      <c r="BL32" s="29"/>
      <c r="BM32" s="29"/>
      <c r="BN32" s="29"/>
      <c r="BO32" s="29"/>
      <c r="BU32" s="29"/>
      <c r="BV32" s="29"/>
      <c r="BW32" s="29"/>
      <c r="BX32" s="29"/>
      <c r="BY32" s="29"/>
      <c r="BZ32" s="29"/>
      <c r="CA32" s="29"/>
      <c r="CB32" s="29"/>
      <c r="CC32" s="29"/>
      <c r="CD32" s="29"/>
      <c r="CJ32" s="29"/>
      <c r="CK32" s="29"/>
      <c r="CL32" s="29"/>
      <c r="CM32" s="29"/>
      <c r="CN32" s="29"/>
      <c r="CO32" s="29"/>
      <c r="CP32" s="29"/>
      <c r="CQ32" s="29"/>
      <c r="CS32" s="36"/>
      <c r="CZ32" s="9" t="s">
        <v>231</v>
      </c>
      <c r="DA32" s="24">
        <f>INDEX('5. Investor Metrics'!$D$7:$F$7,MATCH($BH$4,'5. Investor Metrics'!$D$6:$F$6,0))</f>
        <v>1750</v>
      </c>
      <c r="DH32" s="12" t="s">
        <v>232</v>
      </c>
      <c r="DI32" s="12" t="s">
        <v>6</v>
      </c>
    </row>
    <row r="33" spans="3:113" ht="16.05" customHeight="1" x14ac:dyDescent="0.25">
      <c r="C33" s="34"/>
      <c r="D33" s="29"/>
      <c r="E33" s="29"/>
      <c r="F33" s="29"/>
      <c r="G33" s="29"/>
      <c r="H33" s="29"/>
      <c r="I33" s="29"/>
      <c r="J33" s="29"/>
      <c r="K33" s="29"/>
      <c r="L33" s="29"/>
      <c r="R33" s="29"/>
      <c r="S33" s="29"/>
      <c r="T33" s="29"/>
      <c r="U33" s="29"/>
      <c r="V33" s="29"/>
      <c r="W33" s="29"/>
      <c r="X33" s="29"/>
      <c r="Y33" s="29"/>
      <c r="Z33" s="29"/>
      <c r="AD33" s="35"/>
      <c r="AM33" s="29"/>
      <c r="AN33" s="29"/>
      <c r="AO33" s="29"/>
      <c r="AP33" s="29"/>
      <c r="AQ33" s="29"/>
      <c r="AR33" s="29"/>
      <c r="AS33" s="29"/>
      <c r="AT33" s="29"/>
      <c r="AU33" s="29"/>
      <c r="AV33" s="29"/>
      <c r="BB33" s="29"/>
      <c r="BC33" s="29"/>
      <c r="BD33" s="29"/>
      <c r="BF33" s="35"/>
      <c r="BI33" s="2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29"/>
      <c r="CL33" s="29"/>
      <c r="CM33" s="29"/>
      <c r="CN33" s="29"/>
      <c r="CO33" s="29"/>
      <c r="CP33" s="29"/>
      <c r="CQ33" s="29"/>
      <c r="CS33" s="36"/>
      <c r="CZ33" s="9" t="s">
        <v>233</v>
      </c>
      <c r="DA33" s="24">
        <f>INDEX('5. Investor Metrics'!$D$9:$F$9,MATCH($BH$4,'5. Investor Metrics'!$D$6:$F$6,0))</f>
        <v>246</v>
      </c>
      <c r="DH33" s="14" t="s">
        <v>234</v>
      </c>
      <c r="DI33" s="15">
        <f>INDEX('3. Workings'!$D$120:$F$120,MATCH($BH$4,'3. Workings'!$D$100:$F$100,0))</f>
        <v>1.9148541000000003</v>
      </c>
    </row>
    <row r="34" spans="3:113" ht="16.05" customHeight="1" x14ac:dyDescent="0.3">
      <c r="C34" s="34"/>
      <c r="D34" s="29"/>
      <c r="E34" s="163" t="s">
        <v>235</v>
      </c>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D34" s="35"/>
      <c r="AM34" s="29"/>
      <c r="AN34" s="29"/>
      <c r="AO34" s="29"/>
      <c r="AP34" s="29"/>
      <c r="AQ34" s="29"/>
      <c r="AR34" s="29"/>
      <c r="AS34" s="29"/>
      <c r="AT34" s="29"/>
      <c r="AU34" s="29"/>
      <c r="AV34" s="29"/>
      <c r="BB34" s="29"/>
      <c r="BC34" s="29"/>
      <c r="BD34" s="29"/>
      <c r="BF34" s="35"/>
      <c r="BI34" s="29"/>
      <c r="BJ34" s="163" t="str">
        <f>"At the "&amp;$BH$4&amp;" rollout, ClaimPulse releases "&amp;TEXT(DI22,"0")&amp;" FTE of claims-handling capacity and lets the same team clear "&amp;TEXT(DI23,"0.0")&amp;"x the claims it handles today."</f>
        <v>At the Aggressive rollout, ClaimPulse releases 293 FTE of claims-handling capacity and lets the same team clear 5.7x the claims it handles today.</v>
      </c>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S34" s="36"/>
      <c r="DB34" s="14" t="s">
        <v>224</v>
      </c>
      <c r="DC34" s="16">
        <f>INDEX('3. Workings'!$D$69:$F$69,MATCH($BH$4,'3. Workings'!$D$68:$F$68,0))</f>
        <v>80.568844601317153</v>
      </c>
      <c r="DH34" s="14" t="s">
        <v>236</v>
      </c>
      <c r="DI34" s="15">
        <f>INDEX('3. Workings'!$D$119:$F$119,MATCH($BH$4,'3. Workings'!$D$100:$F$100,0))</f>
        <v>1.0013452</v>
      </c>
    </row>
    <row r="35" spans="3:113" ht="16.05" customHeight="1" x14ac:dyDescent="0.3">
      <c r="C35" s="34"/>
      <c r="D35" s="29"/>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D35" s="35"/>
      <c r="AM35" s="29"/>
      <c r="AN35" s="29"/>
      <c r="AO35" s="29"/>
      <c r="AP35" s="29"/>
      <c r="AQ35" s="29"/>
      <c r="AR35" s="29"/>
      <c r="AS35" s="29"/>
      <c r="AT35" s="29"/>
      <c r="AU35" s="29"/>
      <c r="AV35" s="29"/>
      <c r="BB35" s="29"/>
      <c r="BC35" s="29"/>
      <c r="BD35" s="29"/>
      <c r="BE35" s="29"/>
      <c r="BF35" s="39"/>
      <c r="BG35" s="39"/>
      <c r="BH35" s="39"/>
      <c r="BI35" s="39"/>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S35" s="36"/>
      <c r="DB35" s="14" t="s">
        <v>226</v>
      </c>
      <c r="DC35" s="14">
        <f>-INDEX('3. Workings'!$D$70:$F$70,MATCH($BH$4,'3. Workings'!$D$68:$F$68,0))</f>
        <v>-5.2913308895421096</v>
      </c>
      <c r="DH35" s="14" t="s">
        <v>237</v>
      </c>
      <c r="DI35" s="15">
        <f>'3. Workings'!$D$55-DI33-DI34</f>
        <v>6.9742705000000011</v>
      </c>
    </row>
    <row r="36" spans="3:113" ht="16.05" customHeight="1" x14ac:dyDescent="0.3">
      <c r="C36" s="34"/>
      <c r="D36" s="29"/>
      <c r="E36" s="29"/>
      <c r="F36" s="29"/>
      <c r="G36" s="29"/>
      <c r="H36" s="29"/>
      <c r="I36" s="29"/>
      <c r="J36" s="29"/>
      <c r="K36" s="29"/>
      <c r="L36" s="29"/>
      <c r="R36" s="29"/>
      <c r="S36" s="29"/>
      <c r="T36" s="29"/>
      <c r="U36" s="29"/>
      <c r="V36" s="29"/>
      <c r="W36" s="29"/>
      <c r="X36" s="29"/>
      <c r="Y36" s="29"/>
      <c r="Z36" s="29"/>
      <c r="AM36" s="29"/>
      <c r="AN36" s="29"/>
      <c r="AO36" s="29"/>
      <c r="AP36" s="29"/>
      <c r="AQ36" s="29"/>
      <c r="AR36" s="29"/>
      <c r="AS36" s="29"/>
      <c r="AT36" s="29"/>
      <c r="AU36" s="29"/>
      <c r="AV36" s="29"/>
      <c r="BB36" s="29"/>
      <c r="BC36" s="29"/>
      <c r="BD36" s="29"/>
      <c r="BE36" s="29"/>
      <c r="BF36" s="29"/>
      <c r="BG36" s="29"/>
      <c r="BY36" s="29"/>
      <c r="BZ36" s="29"/>
      <c r="CF36" s="29"/>
      <c r="CG36" s="29"/>
      <c r="CH36" s="29"/>
      <c r="CI36" s="29"/>
      <c r="CJ36" s="29"/>
      <c r="CK36" s="29"/>
      <c r="CL36" s="29"/>
      <c r="CM36" s="29"/>
      <c r="CN36" s="29"/>
      <c r="CO36" s="29"/>
      <c r="CS36" s="36"/>
      <c r="DB36" s="14" t="s">
        <v>228</v>
      </c>
      <c r="DC36" s="16">
        <f>INDEX('3. Workings'!$D$71:$F$71,MATCH($BH$4,'3. Workings'!$D$68:$F$68,0))</f>
        <v>75.277513711775043</v>
      </c>
      <c r="DH36" s="14" t="s">
        <v>238</v>
      </c>
      <c r="DI36" s="15">
        <f>INDEX('3. Workings'!$D$121:$F$121,MATCH($BH$4,'3. Workings'!$D$100:$F$100,0))</f>
        <v>0.36999959999999998</v>
      </c>
    </row>
    <row r="37" spans="3:113" ht="16.05" customHeight="1" x14ac:dyDescent="0.25">
      <c r="C37" s="34"/>
      <c r="D37" s="29"/>
      <c r="E37" s="29"/>
      <c r="F37" s="161" t="s">
        <v>239</v>
      </c>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29"/>
      <c r="AN37" s="41"/>
      <c r="AO37" s="29"/>
      <c r="AP37" s="29"/>
      <c r="AQ37" s="161" t="s">
        <v>240</v>
      </c>
      <c r="AR37" s="161"/>
      <c r="AS37" s="161"/>
      <c r="AT37" s="161"/>
      <c r="AU37" s="161"/>
      <c r="AV37" s="161"/>
      <c r="AW37" s="161"/>
      <c r="AX37" s="161"/>
      <c r="AY37" s="161"/>
      <c r="AZ37" s="161"/>
      <c r="BA37" s="161"/>
      <c r="BB37" s="161"/>
      <c r="BC37" s="161"/>
      <c r="BD37" s="161"/>
      <c r="BE37" s="161"/>
      <c r="BF37" s="161"/>
      <c r="BG37" s="161"/>
      <c r="BI37" s="42"/>
      <c r="BL37" s="161" t="str">
        <f>"WHAT THE BUILD BUYS THE REGULATOR  ·  "&amp;TEXT(DI37,"0.0%")&amp;" OF THE BUILD"</f>
        <v>WHAT THE BUILD BUYS THE REGULATOR  ·  29.5% OF THE BUILD</v>
      </c>
      <c r="BM37" s="161"/>
      <c r="BN37" s="161"/>
      <c r="BO37" s="161"/>
      <c r="BP37" s="161"/>
      <c r="BQ37" s="161"/>
      <c r="BR37" s="161"/>
      <c r="BS37" s="161"/>
      <c r="BT37" s="161"/>
      <c r="BU37" s="161"/>
      <c r="BV37" s="161"/>
      <c r="BW37" s="161"/>
      <c r="BX37" s="161"/>
      <c r="BY37" s="161"/>
      <c r="BZ37" s="161"/>
      <c r="CA37" s="161"/>
      <c r="CB37" s="161"/>
      <c r="CC37" s="161"/>
      <c r="CD37" s="161"/>
      <c r="CE37" s="161"/>
      <c r="CF37" s="161"/>
      <c r="CG37" s="161"/>
      <c r="CH37" s="161"/>
      <c r="CI37" s="161"/>
      <c r="CJ37" s="161"/>
      <c r="CK37" s="161"/>
      <c r="CL37" s="161"/>
      <c r="CM37" s="161"/>
      <c r="CN37" s="161"/>
      <c r="CO37" s="161"/>
      <c r="CP37" s="161"/>
      <c r="CQ37" s="161"/>
      <c r="CS37" s="36"/>
      <c r="DH37" s="14" t="s">
        <v>241</v>
      </c>
      <c r="DI37" s="15">
        <f>INDEX('3. Workings'!$D$122:$F$122,MATCH($BH$4,'3. Workings'!$D$100:$F$100,0))</f>
        <v>0.29484942161190364</v>
      </c>
    </row>
    <row r="38" spans="3:113" ht="16.05" customHeight="1" x14ac:dyDescent="0.25">
      <c r="C38" s="34"/>
      <c r="D38" s="29"/>
      <c r="E38" s="29"/>
      <c r="F38" s="29"/>
      <c r="G38" s="29"/>
      <c r="H38" s="29"/>
      <c r="I38" s="29"/>
      <c r="J38" s="29"/>
      <c r="K38" s="29"/>
      <c r="L38" s="29"/>
      <c r="R38" s="29"/>
      <c r="S38" s="29"/>
      <c r="T38" s="29"/>
      <c r="U38" s="29"/>
      <c r="V38" s="29"/>
      <c r="W38" s="29"/>
      <c r="X38" s="29"/>
      <c r="Y38" s="29"/>
      <c r="Z38" s="29"/>
      <c r="AM38" s="29"/>
      <c r="AN38" s="41"/>
      <c r="AO38" s="29"/>
      <c r="AP38" s="29"/>
      <c r="AQ38" s="29"/>
      <c r="AR38" s="29"/>
      <c r="AS38" s="29"/>
      <c r="AT38" s="29"/>
      <c r="AU38" s="29"/>
      <c r="AV38" s="29"/>
      <c r="BB38" s="29"/>
      <c r="BC38" s="29"/>
      <c r="BD38" s="29"/>
      <c r="BE38" s="29"/>
      <c r="BF38" s="29"/>
      <c r="BG38" s="29"/>
      <c r="BI38" s="42"/>
      <c r="BY38" s="29"/>
      <c r="BZ38" s="29"/>
      <c r="CF38" s="29"/>
      <c r="CG38" s="29"/>
      <c r="CH38" s="29"/>
      <c r="CI38" s="29"/>
      <c r="CJ38" s="29"/>
      <c r="CK38" s="29"/>
      <c r="CL38" s="29"/>
      <c r="CM38" s="29"/>
      <c r="CN38" s="29"/>
      <c r="CO38" s="29"/>
      <c r="CS38" s="36"/>
    </row>
    <row r="39" spans="3:113" ht="16.05" customHeight="1" x14ac:dyDescent="0.25">
      <c r="C39" s="34"/>
      <c r="D39" s="29"/>
      <c r="E39" s="29"/>
      <c r="F39" s="164" t="s">
        <v>242</v>
      </c>
      <c r="G39" s="164"/>
      <c r="H39" s="164"/>
      <c r="I39" s="164"/>
      <c r="J39" s="164"/>
      <c r="K39" s="164"/>
      <c r="L39" s="164"/>
      <c r="M39" s="164"/>
      <c r="N39" s="164"/>
      <c r="O39" s="164"/>
      <c r="P39" s="164"/>
      <c r="Q39" s="164" t="s">
        <v>243</v>
      </c>
      <c r="R39" s="164"/>
      <c r="S39" s="164"/>
      <c r="T39" s="164"/>
      <c r="U39" s="164"/>
      <c r="V39" s="164"/>
      <c r="W39" s="164"/>
      <c r="X39" s="164"/>
      <c r="Y39" s="164"/>
      <c r="Z39" s="164"/>
      <c r="AA39" s="164"/>
      <c r="AB39" s="165" t="s">
        <v>6</v>
      </c>
      <c r="AC39" s="165"/>
      <c r="AD39" s="165"/>
      <c r="AE39" s="165"/>
      <c r="AF39" s="165"/>
      <c r="AG39" s="165"/>
      <c r="AH39" s="165"/>
      <c r="AI39" s="165"/>
      <c r="AJ39" s="165"/>
      <c r="AK39" s="165"/>
      <c r="AL39" s="165"/>
      <c r="AM39" s="29"/>
      <c r="AN39" s="41"/>
      <c r="AO39" s="29"/>
      <c r="AP39" s="29"/>
      <c r="AQ39" s="29"/>
      <c r="AR39" s="29"/>
      <c r="AS39" s="29"/>
      <c r="AT39" s="29"/>
      <c r="AU39" s="29"/>
      <c r="AV39" s="29"/>
      <c r="BB39" s="29"/>
      <c r="BC39" s="29"/>
      <c r="BD39" s="29"/>
      <c r="BE39" s="29"/>
      <c r="BF39" s="29"/>
      <c r="BG39" s="29"/>
      <c r="BI39" s="42"/>
      <c r="BY39" s="29"/>
      <c r="BZ39" s="29"/>
      <c r="CF39" s="29"/>
      <c r="CG39" s="29"/>
      <c r="CH39" s="29"/>
      <c r="CI39" s="29"/>
      <c r="CJ39" s="29"/>
      <c r="CK39" s="29"/>
      <c r="CL39" s="29"/>
      <c r="CM39" s="29"/>
      <c r="CN39" s="29"/>
      <c r="CO39" s="29"/>
      <c r="CS39" s="36"/>
      <c r="DH39" s="10" t="s">
        <v>244</v>
      </c>
    </row>
    <row r="40" spans="3:113" ht="16.05" customHeight="1" x14ac:dyDescent="0.3">
      <c r="C40" s="34"/>
      <c r="D40" s="29"/>
      <c r="E40" s="29"/>
      <c r="F40" s="164"/>
      <c r="G40" s="164"/>
      <c r="H40" s="164"/>
      <c r="I40" s="164"/>
      <c r="J40" s="164"/>
      <c r="K40" s="164"/>
      <c r="L40" s="164"/>
      <c r="M40" s="164"/>
      <c r="N40" s="164"/>
      <c r="O40" s="164"/>
      <c r="P40" s="164"/>
      <c r="Q40" s="164"/>
      <c r="R40" s="164"/>
      <c r="S40" s="164"/>
      <c r="T40" s="164"/>
      <c r="U40" s="164"/>
      <c r="V40" s="164"/>
      <c r="W40" s="164"/>
      <c r="X40" s="164"/>
      <c r="Y40" s="164"/>
      <c r="Z40" s="164"/>
      <c r="AA40" s="164"/>
      <c r="AB40" s="165"/>
      <c r="AC40" s="165"/>
      <c r="AD40" s="165"/>
      <c r="AE40" s="165"/>
      <c r="AF40" s="165"/>
      <c r="AG40" s="165"/>
      <c r="AH40" s="165"/>
      <c r="AI40" s="165"/>
      <c r="AJ40" s="165"/>
      <c r="AK40" s="165"/>
      <c r="AL40" s="165"/>
      <c r="AM40" s="29"/>
      <c r="AN40" s="41"/>
      <c r="AO40" s="29"/>
      <c r="AP40" s="29"/>
      <c r="AQ40" s="29"/>
      <c r="AR40" s="29"/>
      <c r="AS40" s="29"/>
      <c r="AT40" s="29"/>
      <c r="AU40" s="29"/>
      <c r="AV40" s="29"/>
      <c r="BB40" s="29"/>
      <c r="BC40" s="29"/>
      <c r="BD40" s="29"/>
      <c r="BE40" s="29"/>
      <c r="BF40" s="29"/>
      <c r="BG40" s="29"/>
      <c r="BH40" s="29"/>
      <c r="BI40" s="41"/>
      <c r="BJ40" s="29"/>
      <c r="BK40" s="29"/>
      <c r="BR40" s="29"/>
      <c r="BS40" s="29"/>
      <c r="BT40" s="29"/>
      <c r="BU40" s="29"/>
      <c r="BV40" s="29"/>
      <c r="BW40" s="29"/>
      <c r="BX40" s="29"/>
      <c r="BY40" s="29"/>
      <c r="BZ40" s="29"/>
      <c r="CF40" s="29"/>
      <c r="CG40" s="29"/>
      <c r="CH40" s="29"/>
      <c r="CI40" s="29"/>
      <c r="CJ40" s="29"/>
      <c r="CK40" s="29"/>
      <c r="CL40" s="29"/>
      <c r="CM40" s="29"/>
      <c r="CN40" s="29"/>
      <c r="CO40" s="29"/>
      <c r="CS40" s="36"/>
      <c r="DH40" s="12" t="s">
        <v>245</v>
      </c>
      <c r="DI40" s="12" t="s">
        <v>6</v>
      </c>
    </row>
    <row r="41" spans="3:113" ht="16.05" customHeight="1" x14ac:dyDescent="0.3">
      <c r="C41" s="34"/>
      <c r="D41" s="29"/>
      <c r="E41" s="29"/>
      <c r="F41" s="166" t="s">
        <v>246</v>
      </c>
      <c r="G41" s="166"/>
      <c r="H41" s="166"/>
      <c r="I41" s="166"/>
      <c r="J41" s="166"/>
      <c r="K41" s="166"/>
      <c r="L41" s="166"/>
      <c r="M41" s="166"/>
      <c r="N41" s="166"/>
      <c r="O41" s="166"/>
      <c r="P41" s="166"/>
      <c r="Q41" s="166" t="s">
        <v>188</v>
      </c>
      <c r="R41" s="166"/>
      <c r="S41" s="166"/>
      <c r="T41" s="166"/>
      <c r="U41" s="166"/>
      <c r="V41" s="166"/>
      <c r="W41" s="166"/>
      <c r="X41" s="166"/>
      <c r="Y41" s="166"/>
      <c r="Z41" s="166"/>
      <c r="AA41" s="166"/>
      <c r="AB41" s="167">
        <f>DI12</f>
        <v>1944839.3920119114</v>
      </c>
      <c r="AC41" s="167"/>
      <c r="AD41" s="167"/>
      <c r="AE41" s="167"/>
      <c r="AF41" s="167"/>
      <c r="AG41" s="167"/>
      <c r="AH41" s="167"/>
      <c r="AI41" s="167"/>
      <c r="AJ41" s="167"/>
      <c r="AK41" s="167"/>
      <c r="AL41" s="167"/>
      <c r="AM41" s="29"/>
      <c r="AN41" s="41"/>
      <c r="AO41" s="29"/>
      <c r="AP41" s="29"/>
      <c r="AQ41" s="29"/>
      <c r="AR41" s="29"/>
      <c r="AS41" s="29"/>
      <c r="AT41" s="29"/>
      <c r="AU41" s="29"/>
      <c r="AV41" s="29"/>
      <c r="BB41" s="29"/>
      <c r="BC41" s="29"/>
      <c r="BD41" s="29"/>
      <c r="BE41" s="29"/>
      <c r="BF41" s="29"/>
      <c r="BG41" s="29"/>
      <c r="BH41" s="29"/>
      <c r="BI41" s="41"/>
      <c r="BJ41" s="29"/>
      <c r="BK41" s="29"/>
      <c r="BQ41" s="29"/>
      <c r="BR41" s="29"/>
      <c r="BS41" s="29"/>
      <c r="BT41" s="29"/>
      <c r="BU41" s="29"/>
      <c r="BV41" s="29"/>
      <c r="BW41" s="29"/>
      <c r="BX41" s="29"/>
      <c r="BY41" s="29"/>
      <c r="BZ41" s="29"/>
      <c r="CF41" s="29"/>
      <c r="CG41" s="29"/>
      <c r="CH41" s="29"/>
      <c r="CI41" s="29"/>
      <c r="CJ41" s="29"/>
      <c r="CK41" s="29"/>
      <c r="CL41" s="29"/>
      <c r="CM41" s="29"/>
      <c r="CN41" s="29"/>
      <c r="CO41" s="29"/>
      <c r="CS41" s="36"/>
      <c r="DH41" s="14" t="s">
        <v>247</v>
      </c>
      <c r="DI41" s="16">
        <f>INDEX('3. Workings'!$D$126:$F$126,MATCH($BH$4,'3. Workings'!$D$100:$F$100,0))</f>
        <v>9.8904698000000018</v>
      </c>
    </row>
    <row r="42" spans="3:113" ht="16.05" customHeight="1" x14ac:dyDescent="0.3">
      <c r="C42" s="34"/>
      <c r="D42" s="29"/>
      <c r="E42" s="29"/>
      <c r="F42" s="166"/>
      <c r="G42" s="166"/>
      <c r="H42" s="166"/>
      <c r="I42" s="166"/>
      <c r="J42" s="166"/>
      <c r="K42" s="166"/>
      <c r="L42" s="166"/>
      <c r="M42" s="166"/>
      <c r="N42" s="166"/>
      <c r="O42" s="166"/>
      <c r="P42" s="166"/>
      <c r="Q42" s="166"/>
      <c r="R42" s="166"/>
      <c r="S42" s="166"/>
      <c r="T42" s="166"/>
      <c r="U42" s="166"/>
      <c r="V42" s="166"/>
      <c r="W42" s="166"/>
      <c r="X42" s="166"/>
      <c r="Y42" s="166"/>
      <c r="Z42" s="166"/>
      <c r="AA42" s="166"/>
      <c r="AB42" s="167"/>
      <c r="AC42" s="167"/>
      <c r="AD42" s="167"/>
      <c r="AE42" s="167"/>
      <c r="AF42" s="167"/>
      <c r="AG42" s="167"/>
      <c r="AH42" s="167"/>
      <c r="AI42" s="167"/>
      <c r="AJ42" s="167"/>
      <c r="AK42" s="167"/>
      <c r="AL42" s="167"/>
      <c r="AM42" s="29"/>
      <c r="AN42" s="41"/>
      <c r="AO42" s="29"/>
      <c r="AP42" s="29"/>
      <c r="AQ42" s="29"/>
      <c r="AR42" s="29"/>
      <c r="AS42" s="29"/>
      <c r="AT42" s="29"/>
      <c r="AU42" s="29"/>
      <c r="AV42" s="29"/>
      <c r="BB42" s="29"/>
      <c r="BC42" s="29"/>
      <c r="BD42" s="29"/>
      <c r="BE42" s="29"/>
      <c r="BF42" s="29"/>
      <c r="BG42" s="29"/>
      <c r="BH42" s="29"/>
      <c r="BI42" s="41"/>
      <c r="BJ42" s="29"/>
      <c r="BK42" s="29"/>
      <c r="BQ42" s="29"/>
      <c r="BR42" s="29"/>
      <c r="BS42" s="29"/>
      <c r="BT42" s="29"/>
      <c r="BU42" s="29"/>
      <c r="BV42" s="29"/>
      <c r="BW42" s="29"/>
      <c r="BX42" s="29"/>
      <c r="BY42" s="29"/>
      <c r="BZ42" s="29"/>
      <c r="CF42" s="29"/>
      <c r="CG42" s="29"/>
      <c r="CH42" s="29"/>
      <c r="CI42" s="29"/>
      <c r="CJ42" s="29"/>
      <c r="CK42" s="29"/>
      <c r="CL42" s="29"/>
      <c r="CM42" s="29"/>
      <c r="CN42" s="29"/>
      <c r="CO42" s="29"/>
      <c r="CS42" s="36"/>
      <c r="DH42" s="14" t="s">
        <v>248</v>
      </c>
      <c r="DI42" s="16">
        <f>INDEX('3. Workings'!$D$127:$F$127,MATCH($BH$4,'3. Workings'!$D$100:$F$100,0))</f>
        <v>74.317437848299477</v>
      </c>
    </row>
    <row r="43" spans="3:113" ht="16.05" customHeight="1" x14ac:dyDescent="0.3">
      <c r="C43" s="34"/>
      <c r="D43" s="29"/>
      <c r="E43" s="29"/>
      <c r="F43" s="166" t="s">
        <v>106</v>
      </c>
      <c r="G43" s="166"/>
      <c r="H43" s="166"/>
      <c r="I43" s="166"/>
      <c r="J43" s="166"/>
      <c r="K43" s="166"/>
      <c r="L43" s="166"/>
      <c r="M43" s="166"/>
      <c r="N43" s="166"/>
      <c r="O43" s="166"/>
      <c r="P43" s="166"/>
      <c r="Q43" s="166" t="s">
        <v>49</v>
      </c>
      <c r="R43" s="166"/>
      <c r="S43" s="166"/>
      <c r="T43" s="166"/>
      <c r="U43" s="166"/>
      <c r="V43" s="166"/>
      <c r="W43" s="166"/>
      <c r="X43" s="166"/>
      <c r="Y43" s="166"/>
      <c r="Z43" s="166"/>
      <c r="AA43" s="166"/>
      <c r="AB43" s="168">
        <f>DI22</f>
        <v>293.10252551608232</v>
      </c>
      <c r="AC43" s="168"/>
      <c r="AD43" s="168"/>
      <c r="AE43" s="168"/>
      <c r="AF43" s="168"/>
      <c r="AG43" s="168"/>
      <c r="AH43" s="168"/>
      <c r="AI43" s="168"/>
      <c r="AJ43" s="168"/>
      <c r="AK43" s="168"/>
      <c r="AL43" s="168"/>
      <c r="AM43" s="29"/>
      <c r="AN43" s="41"/>
      <c r="AO43" s="29"/>
      <c r="AP43" s="29"/>
      <c r="AQ43" s="29"/>
      <c r="AR43" s="29"/>
      <c r="AS43" s="29"/>
      <c r="AT43" s="29"/>
      <c r="AU43" s="29"/>
      <c r="AV43" s="29"/>
      <c r="BB43" s="29"/>
      <c r="BC43" s="29"/>
      <c r="BD43" s="29"/>
      <c r="BE43" s="29"/>
      <c r="BF43" s="29"/>
      <c r="BG43" s="29"/>
      <c r="BH43" s="29"/>
      <c r="BI43" s="41"/>
      <c r="BJ43" s="29"/>
      <c r="BK43" s="29"/>
      <c r="BQ43" s="29"/>
      <c r="BR43" s="29"/>
      <c r="BS43" s="29"/>
      <c r="BT43" s="29"/>
      <c r="BU43" s="29"/>
      <c r="BV43" s="29"/>
      <c r="BW43" s="29"/>
      <c r="BX43" s="29"/>
      <c r="BY43" s="29"/>
      <c r="BZ43" s="29"/>
      <c r="CF43" s="29"/>
      <c r="CG43" s="29"/>
      <c r="CH43" s="29"/>
      <c r="CI43" s="29"/>
      <c r="CJ43" s="29"/>
      <c r="CK43" s="29"/>
      <c r="CL43" s="29"/>
      <c r="CM43" s="29"/>
      <c r="CN43" s="29"/>
      <c r="CO43" s="29"/>
      <c r="CS43" s="36"/>
      <c r="DH43" s="14" t="s">
        <v>249</v>
      </c>
      <c r="DI43" s="16">
        <f>INDEX('3. Workings'!$D$128:$F$128,MATCH($BH$4,'3. Workings'!$D$100:$F$100,0))</f>
        <v>0.96007586347555574</v>
      </c>
    </row>
    <row r="44" spans="3:113" ht="16.05" customHeight="1" x14ac:dyDescent="0.3">
      <c r="C44" s="34"/>
      <c r="D44" s="29"/>
      <c r="E44" s="29"/>
      <c r="F44" s="166"/>
      <c r="G44" s="166"/>
      <c r="H44" s="166"/>
      <c r="I44" s="166"/>
      <c r="J44" s="166"/>
      <c r="K44" s="166"/>
      <c r="L44" s="166"/>
      <c r="M44" s="166"/>
      <c r="N44" s="166"/>
      <c r="O44" s="166"/>
      <c r="P44" s="166"/>
      <c r="Q44" s="166"/>
      <c r="R44" s="166"/>
      <c r="S44" s="166"/>
      <c r="T44" s="166"/>
      <c r="U44" s="166"/>
      <c r="V44" s="166"/>
      <c r="W44" s="166"/>
      <c r="X44" s="166"/>
      <c r="Y44" s="166"/>
      <c r="Z44" s="166"/>
      <c r="AA44" s="166"/>
      <c r="AB44" s="168"/>
      <c r="AC44" s="168"/>
      <c r="AD44" s="168"/>
      <c r="AE44" s="168"/>
      <c r="AF44" s="168"/>
      <c r="AG44" s="168"/>
      <c r="AH44" s="168"/>
      <c r="AI44" s="168"/>
      <c r="AJ44" s="168"/>
      <c r="AK44" s="168"/>
      <c r="AL44" s="168"/>
      <c r="AM44" s="29"/>
      <c r="AN44" s="41"/>
      <c r="AO44" s="29"/>
      <c r="AP44" s="29"/>
      <c r="AQ44" s="29"/>
      <c r="AR44" s="29"/>
      <c r="AS44" s="29"/>
      <c r="AT44" s="29"/>
      <c r="AU44" s="29"/>
      <c r="AV44" s="29"/>
      <c r="BB44" s="29"/>
      <c r="BC44" s="29"/>
      <c r="BD44" s="29"/>
      <c r="BE44" s="29"/>
      <c r="BF44" s="29"/>
      <c r="BG44" s="29"/>
      <c r="BH44" s="29"/>
      <c r="BI44" s="41"/>
      <c r="BJ44" s="29"/>
      <c r="BK44" s="29"/>
      <c r="BQ44" s="29"/>
      <c r="BR44" s="29"/>
      <c r="BS44" s="29"/>
      <c r="BT44" s="29"/>
      <c r="BU44" s="29"/>
      <c r="BV44" s="29"/>
      <c r="BW44" s="29"/>
      <c r="BX44" s="29"/>
      <c r="BY44" s="29"/>
      <c r="BZ44" s="29"/>
      <c r="CF44" s="29"/>
      <c r="CG44" s="29"/>
      <c r="CH44" s="29"/>
      <c r="CI44" s="29"/>
      <c r="CJ44" s="29"/>
      <c r="CK44" s="29"/>
      <c r="CL44" s="29"/>
      <c r="CM44" s="29"/>
      <c r="CN44" s="29"/>
      <c r="CO44" s="29"/>
      <c r="CS44" s="36"/>
      <c r="DH44" s="14" t="s">
        <v>250</v>
      </c>
      <c r="DI44" s="16">
        <f>INDEX('3. Workings'!$D$129:$F$129,MATCH($BH$4,'3. Workings'!$D$100:$F$100,0))</f>
        <v>75.277513711775029</v>
      </c>
    </row>
    <row r="45" spans="3:113" ht="16.05" customHeight="1" x14ac:dyDescent="0.3">
      <c r="C45" s="34"/>
      <c r="D45" s="29"/>
      <c r="E45" s="29"/>
      <c r="F45" s="166" t="s">
        <v>251</v>
      </c>
      <c r="G45" s="166"/>
      <c r="H45" s="166"/>
      <c r="I45" s="166"/>
      <c r="J45" s="166"/>
      <c r="K45" s="166"/>
      <c r="L45" s="166"/>
      <c r="M45" s="166"/>
      <c r="N45" s="166"/>
      <c r="O45" s="166"/>
      <c r="P45" s="166"/>
      <c r="Q45" s="166" t="s">
        <v>252</v>
      </c>
      <c r="R45" s="166"/>
      <c r="S45" s="166"/>
      <c r="T45" s="166"/>
      <c r="U45" s="166"/>
      <c r="V45" s="166"/>
      <c r="W45" s="166"/>
      <c r="X45" s="166"/>
      <c r="Y45" s="166"/>
      <c r="Z45" s="166"/>
      <c r="AA45" s="166"/>
      <c r="AB45" s="169">
        <f>DE22</f>
        <v>4.491377252428979</v>
      </c>
      <c r="AC45" s="169"/>
      <c r="AD45" s="169"/>
      <c r="AE45" s="169"/>
      <c r="AF45" s="169"/>
      <c r="AG45" s="169"/>
      <c r="AH45" s="169"/>
      <c r="AI45" s="169"/>
      <c r="AJ45" s="169"/>
      <c r="AK45" s="169"/>
      <c r="AL45" s="169"/>
      <c r="AM45" s="29"/>
      <c r="AN45" s="41"/>
      <c r="AO45" s="29"/>
      <c r="AP45" s="29"/>
      <c r="AQ45" s="29"/>
      <c r="AR45" s="29"/>
      <c r="AS45" s="29"/>
      <c r="AT45" s="29"/>
      <c r="AU45" s="29"/>
      <c r="AV45" s="29"/>
      <c r="BB45" s="29"/>
      <c r="BC45" s="29"/>
      <c r="BD45" s="29"/>
      <c r="BE45" s="29"/>
      <c r="BF45" s="29"/>
      <c r="BG45" s="29"/>
      <c r="BH45" s="29"/>
      <c r="BI45" s="41"/>
      <c r="BJ45" s="29"/>
      <c r="BK45" s="29"/>
      <c r="BQ45" s="29"/>
      <c r="BR45" s="29"/>
      <c r="BS45" s="29"/>
      <c r="BT45" s="29"/>
      <c r="BU45" s="29"/>
      <c r="BV45" s="29"/>
      <c r="BW45" s="29"/>
      <c r="BX45" s="29"/>
      <c r="BY45" s="29"/>
      <c r="BZ45" s="29"/>
      <c r="CF45" s="29"/>
      <c r="CG45" s="29"/>
      <c r="CH45" s="29"/>
      <c r="CI45" s="29"/>
      <c r="CJ45" s="29"/>
      <c r="CK45" s="29"/>
      <c r="CL45" s="29"/>
      <c r="CM45" s="29"/>
      <c r="CN45" s="29"/>
      <c r="CO45" s="29"/>
      <c r="CS45" s="36"/>
    </row>
    <row r="46" spans="3:113" ht="16.05" customHeight="1" x14ac:dyDescent="0.3">
      <c r="C46" s="34"/>
      <c r="D46" s="29"/>
      <c r="E46" s="29"/>
      <c r="F46" s="166"/>
      <c r="G46" s="166"/>
      <c r="H46" s="166"/>
      <c r="I46" s="166"/>
      <c r="J46" s="166"/>
      <c r="K46" s="166"/>
      <c r="L46" s="166"/>
      <c r="M46" s="166"/>
      <c r="N46" s="166"/>
      <c r="O46" s="166"/>
      <c r="P46" s="166"/>
      <c r="Q46" s="166"/>
      <c r="R46" s="166"/>
      <c r="S46" s="166"/>
      <c r="T46" s="166"/>
      <c r="U46" s="166"/>
      <c r="V46" s="166"/>
      <c r="W46" s="166"/>
      <c r="X46" s="166"/>
      <c r="Y46" s="166"/>
      <c r="Z46" s="166"/>
      <c r="AA46" s="166"/>
      <c r="AB46" s="169"/>
      <c r="AC46" s="169"/>
      <c r="AD46" s="169"/>
      <c r="AE46" s="169"/>
      <c r="AF46" s="169"/>
      <c r="AG46" s="169"/>
      <c r="AH46" s="169"/>
      <c r="AI46" s="169"/>
      <c r="AJ46" s="169"/>
      <c r="AK46" s="169"/>
      <c r="AL46" s="169"/>
      <c r="AM46" s="29"/>
      <c r="AN46" s="41"/>
      <c r="AO46" s="29"/>
      <c r="AP46" s="29"/>
      <c r="AQ46" s="29"/>
      <c r="AR46" s="29"/>
      <c r="AS46" s="29"/>
      <c r="AT46" s="29"/>
      <c r="AU46" s="29"/>
      <c r="AV46" s="29"/>
      <c r="BB46" s="29"/>
      <c r="BC46" s="29"/>
      <c r="BD46" s="29"/>
      <c r="BE46" s="29"/>
      <c r="BF46" s="29"/>
      <c r="BG46" s="29"/>
      <c r="BH46" s="29"/>
      <c r="BI46" s="41"/>
      <c r="BJ46" s="29"/>
      <c r="BK46" s="29"/>
      <c r="BQ46" s="29"/>
      <c r="BR46" s="29"/>
      <c r="BS46" s="29"/>
      <c r="BT46" s="29"/>
      <c r="BU46" s="29"/>
      <c r="BV46" s="29"/>
      <c r="BW46" s="29"/>
      <c r="BX46" s="29"/>
      <c r="BY46" s="29"/>
      <c r="BZ46" s="29"/>
      <c r="CF46" s="29"/>
      <c r="CG46" s="29"/>
      <c r="CH46" s="29"/>
      <c r="CI46" s="29"/>
      <c r="CJ46" s="29"/>
      <c r="CK46" s="29"/>
      <c r="CL46" s="29"/>
      <c r="CM46" s="29"/>
      <c r="CN46" s="29"/>
      <c r="CO46" s="29"/>
      <c r="CS46" s="36"/>
      <c r="DH46" s="10" t="s">
        <v>253</v>
      </c>
    </row>
    <row r="47" spans="3:113" ht="16.05" customHeight="1" x14ac:dyDescent="0.3">
      <c r="C47" s="34"/>
      <c r="D47" s="29"/>
      <c r="E47" s="29"/>
      <c r="F47" s="166" t="s">
        <v>254</v>
      </c>
      <c r="G47" s="166"/>
      <c r="H47" s="166"/>
      <c r="I47" s="166"/>
      <c r="J47" s="166"/>
      <c r="K47" s="166"/>
      <c r="L47" s="166"/>
      <c r="M47" s="166"/>
      <c r="N47" s="166"/>
      <c r="O47" s="166"/>
      <c r="P47" s="166"/>
      <c r="Q47" s="166" t="s">
        <v>255</v>
      </c>
      <c r="R47" s="166"/>
      <c r="S47" s="166"/>
      <c r="T47" s="166"/>
      <c r="U47" s="166"/>
      <c r="V47" s="166"/>
      <c r="W47" s="166"/>
      <c r="X47" s="166"/>
      <c r="Y47" s="166"/>
      <c r="Z47" s="166"/>
      <c r="AA47" s="166"/>
      <c r="AB47" s="170">
        <f>DI8</f>
        <v>0.96007586347555574</v>
      </c>
      <c r="AC47" s="170"/>
      <c r="AD47" s="170"/>
      <c r="AE47" s="170"/>
      <c r="AF47" s="170"/>
      <c r="AG47" s="170"/>
      <c r="AH47" s="170"/>
      <c r="AI47" s="170"/>
      <c r="AJ47" s="170"/>
      <c r="AK47" s="170"/>
      <c r="AL47" s="170"/>
      <c r="AM47" s="29"/>
      <c r="AN47" s="41"/>
      <c r="AO47" s="29"/>
      <c r="AP47" s="29"/>
      <c r="AQ47" s="29"/>
      <c r="AR47" s="29"/>
      <c r="AS47" s="29"/>
      <c r="AT47" s="29"/>
      <c r="AU47" s="29"/>
      <c r="AV47" s="29"/>
      <c r="BB47" s="29"/>
      <c r="BC47" s="29"/>
      <c r="BD47" s="29"/>
      <c r="BE47" s="29"/>
      <c r="BF47" s="29"/>
      <c r="BG47" s="29"/>
      <c r="BH47" s="29"/>
      <c r="BI47" s="41"/>
      <c r="BJ47" s="29"/>
      <c r="BK47" s="29"/>
      <c r="BQ47" s="29"/>
      <c r="BR47" s="29"/>
      <c r="BS47" s="29"/>
      <c r="BT47" s="29"/>
      <c r="BU47" s="29"/>
      <c r="BV47" s="29"/>
      <c r="BW47" s="29"/>
      <c r="BX47" s="29"/>
      <c r="BY47" s="29"/>
      <c r="BZ47" s="29"/>
      <c r="CF47" s="29"/>
      <c r="CG47" s="29"/>
      <c r="CH47" s="29"/>
      <c r="CI47" s="29"/>
      <c r="CJ47" s="29"/>
      <c r="CK47" s="29"/>
      <c r="CL47" s="29"/>
      <c r="CM47" s="29"/>
      <c r="CN47" s="29"/>
      <c r="CO47" s="29"/>
      <c r="CS47" s="36"/>
      <c r="DH47" s="12" t="s">
        <v>155</v>
      </c>
      <c r="DI47" s="12" t="s">
        <v>6</v>
      </c>
    </row>
    <row r="48" spans="3:113" ht="16.05" customHeight="1" x14ac:dyDescent="0.3">
      <c r="C48" s="34"/>
      <c r="D48" s="29"/>
      <c r="E48" s="29"/>
      <c r="F48" s="166"/>
      <c r="G48" s="166"/>
      <c r="H48" s="166"/>
      <c r="I48" s="166"/>
      <c r="J48" s="166"/>
      <c r="K48" s="166"/>
      <c r="L48" s="166"/>
      <c r="M48" s="166"/>
      <c r="N48" s="166"/>
      <c r="O48" s="166"/>
      <c r="P48" s="166"/>
      <c r="Q48" s="166"/>
      <c r="R48" s="166"/>
      <c r="S48" s="166"/>
      <c r="T48" s="166"/>
      <c r="U48" s="166"/>
      <c r="V48" s="166"/>
      <c r="W48" s="166"/>
      <c r="X48" s="166"/>
      <c r="Y48" s="166"/>
      <c r="Z48" s="166"/>
      <c r="AA48" s="166"/>
      <c r="AB48" s="170"/>
      <c r="AC48" s="170"/>
      <c r="AD48" s="170"/>
      <c r="AE48" s="170"/>
      <c r="AF48" s="170"/>
      <c r="AG48" s="170"/>
      <c r="AH48" s="170"/>
      <c r="AI48" s="170"/>
      <c r="AJ48" s="170"/>
      <c r="AK48" s="170"/>
      <c r="AL48" s="170"/>
      <c r="AM48" s="29"/>
      <c r="AN48" s="41"/>
      <c r="AO48" s="29"/>
      <c r="AP48" s="29"/>
      <c r="AQ48" s="29"/>
      <c r="AR48" s="29"/>
      <c r="AS48" s="29"/>
      <c r="AT48" s="29"/>
      <c r="AU48" s="29"/>
      <c r="AV48" s="29"/>
      <c r="BB48" s="29"/>
      <c r="BC48" s="29"/>
      <c r="BD48" s="29"/>
      <c r="BE48" s="29"/>
      <c r="BF48" s="29"/>
      <c r="BG48" s="29"/>
      <c r="BH48" s="29"/>
      <c r="BI48" s="41"/>
      <c r="BJ48" s="29"/>
      <c r="BK48" s="29"/>
      <c r="BQ48" s="29"/>
      <c r="BR48" s="29"/>
      <c r="BS48" s="29"/>
      <c r="BT48" s="29"/>
      <c r="BU48" s="29"/>
      <c r="BV48" s="29"/>
      <c r="BW48" s="29"/>
      <c r="BX48" s="29"/>
      <c r="BY48" s="29"/>
      <c r="BZ48" s="29"/>
      <c r="CF48" s="29"/>
      <c r="CG48" s="29"/>
      <c r="CH48" s="29"/>
      <c r="CI48" s="29"/>
      <c r="CJ48" s="29"/>
      <c r="CK48" s="29"/>
      <c r="CL48" s="29"/>
      <c r="CM48" s="29"/>
      <c r="CN48" s="29"/>
      <c r="CO48" s="29"/>
      <c r="CS48" s="36"/>
      <c r="DH48" s="14" t="s">
        <v>256</v>
      </c>
      <c r="DI48" s="24">
        <f>INDEX('3. Workings'!$D$123:$F$123,MATCH($BH$4,'3. Workings'!$D$100:$F$100,0))</f>
        <v>21944.591165155558</v>
      </c>
    </row>
    <row r="49" spans="3:113" ht="16.05" customHeight="1" x14ac:dyDescent="0.3">
      <c r="C49" s="34"/>
      <c r="D49" s="29"/>
      <c r="E49" s="29"/>
      <c r="F49" s="166" t="s">
        <v>257</v>
      </c>
      <c r="G49" s="166"/>
      <c r="H49" s="166"/>
      <c r="I49" s="166"/>
      <c r="J49" s="166"/>
      <c r="K49" s="166"/>
      <c r="L49" s="166"/>
      <c r="M49" s="166"/>
      <c r="N49" s="166"/>
      <c r="O49" s="166"/>
      <c r="P49" s="166"/>
      <c r="Q49" s="166" t="s">
        <v>250</v>
      </c>
      <c r="R49" s="166"/>
      <c r="S49" s="166"/>
      <c r="T49" s="166"/>
      <c r="U49" s="166"/>
      <c r="V49" s="166"/>
      <c r="W49" s="166"/>
      <c r="X49" s="166"/>
      <c r="Y49" s="166"/>
      <c r="Z49" s="166"/>
      <c r="AA49" s="166"/>
      <c r="AB49" s="170">
        <f>DI44</f>
        <v>75.277513711775029</v>
      </c>
      <c r="AC49" s="170"/>
      <c r="AD49" s="170"/>
      <c r="AE49" s="170"/>
      <c r="AF49" s="170"/>
      <c r="AG49" s="170"/>
      <c r="AH49" s="170"/>
      <c r="AI49" s="170"/>
      <c r="AJ49" s="170"/>
      <c r="AK49" s="170"/>
      <c r="AL49" s="170"/>
      <c r="AM49" s="29"/>
      <c r="AN49" s="41"/>
      <c r="AO49" s="29"/>
      <c r="AP49" s="29"/>
      <c r="AQ49" s="29"/>
      <c r="AR49" s="29"/>
      <c r="AS49" s="29"/>
      <c r="AT49" s="29"/>
      <c r="AU49" s="29"/>
      <c r="AV49" s="29"/>
      <c r="BB49" s="29"/>
      <c r="BC49" s="29"/>
      <c r="BD49" s="29"/>
      <c r="BE49" s="29"/>
      <c r="BF49" s="29"/>
      <c r="BG49" s="29"/>
      <c r="BH49" s="29"/>
      <c r="BI49" s="41"/>
      <c r="BJ49" s="29"/>
      <c r="BK49" s="29"/>
      <c r="BQ49" s="29"/>
      <c r="BR49" s="29"/>
      <c r="BS49" s="29"/>
      <c r="BT49" s="29"/>
      <c r="BU49" s="29"/>
      <c r="BV49" s="29"/>
      <c r="BW49" s="29"/>
      <c r="BX49" s="29"/>
      <c r="BY49" s="29"/>
      <c r="BZ49" s="29"/>
      <c r="CF49" s="29"/>
      <c r="CG49" s="29"/>
      <c r="CH49" s="29"/>
      <c r="CI49" s="29"/>
      <c r="CJ49" s="29"/>
      <c r="CK49" s="29"/>
      <c r="CL49" s="29"/>
      <c r="CM49" s="29"/>
      <c r="CN49" s="29"/>
      <c r="CO49" s="29"/>
      <c r="CS49" s="36"/>
      <c r="DH49" s="14" t="s">
        <v>258</v>
      </c>
      <c r="DI49" s="16">
        <f>INDEX('3. Workings'!$D$124:$F$124,MATCH($BH$4,'3. Workings'!$D$100:$F$100,0))</f>
        <v>0.79000528194560016</v>
      </c>
    </row>
    <row r="50" spans="3:113" ht="16.05" customHeight="1" x14ac:dyDescent="0.3">
      <c r="C50" s="34"/>
      <c r="D50" s="29"/>
      <c r="E50" s="29"/>
      <c r="F50" s="166"/>
      <c r="G50" s="166"/>
      <c r="H50" s="166"/>
      <c r="I50" s="166"/>
      <c r="J50" s="166"/>
      <c r="K50" s="166"/>
      <c r="L50" s="166"/>
      <c r="M50" s="166"/>
      <c r="N50" s="166"/>
      <c r="O50" s="166"/>
      <c r="P50" s="166"/>
      <c r="Q50" s="166"/>
      <c r="R50" s="166"/>
      <c r="S50" s="166"/>
      <c r="T50" s="166"/>
      <c r="U50" s="166"/>
      <c r="V50" s="166"/>
      <c r="W50" s="166"/>
      <c r="X50" s="166"/>
      <c r="Y50" s="166"/>
      <c r="Z50" s="166"/>
      <c r="AA50" s="166"/>
      <c r="AB50" s="170"/>
      <c r="AC50" s="170"/>
      <c r="AD50" s="170"/>
      <c r="AE50" s="170"/>
      <c r="AF50" s="170"/>
      <c r="AG50" s="170"/>
      <c r="AH50" s="170"/>
      <c r="AI50" s="170"/>
      <c r="AJ50" s="170"/>
      <c r="AK50" s="170"/>
      <c r="AL50" s="170"/>
      <c r="AM50" s="29"/>
      <c r="AN50" s="41"/>
      <c r="AO50" s="29"/>
      <c r="AP50" s="29"/>
      <c r="AQ50" s="29"/>
      <c r="AR50" s="29"/>
      <c r="AS50" s="29"/>
      <c r="AT50" s="29"/>
      <c r="AU50" s="29"/>
      <c r="AV50" s="29"/>
      <c r="BB50" s="29"/>
      <c r="BC50" s="29"/>
      <c r="BD50" s="29"/>
      <c r="BE50" s="29"/>
      <c r="BF50" s="29"/>
      <c r="BG50" s="29"/>
      <c r="BH50" s="29"/>
      <c r="BI50" s="41"/>
      <c r="BJ50" s="29"/>
      <c r="BK50" s="29"/>
      <c r="BQ50" s="29"/>
      <c r="BR50" s="29"/>
      <c r="BS50" s="29"/>
      <c r="BT50" s="29"/>
      <c r="BU50" s="29"/>
      <c r="BV50" s="29"/>
      <c r="BW50" s="29"/>
      <c r="BX50" s="29"/>
      <c r="BY50" s="29"/>
      <c r="BZ50" s="29"/>
      <c r="CF50" s="29"/>
      <c r="CG50" s="29"/>
      <c r="CH50" s="29"/>
      <c r="CI50" s="29"/>
      <c r="CJ50" s="29"/>
      <c r="CK50" s="29"/>
      <c r="CL50" s="29"/>
      <c r="CM50" s="29"/>
      <c r="CN50" s="29"/>
      <c r="CO50" s="29"/>
      <c r="CS50" s="36"/>
      <c r="DH50" s="14" t="s">
        <v>259</v>
      </c>
      <c r="DI50" s="33">
        <f>INDEX('3. Workings'!$D$125:$F$125,MATCH($BH$4,'3. Workings'!$D$100:$F$100,0))</f>
        <v>9.8053445578724988E-3</v>
      </c>
    </row>
    <row r="51" spans="3:113" ht="16.05" customHeight="1" x14ac:dyDescent="0.3">
      <c r="C51" s="34"/>
      <c r="D51" s="29"/>
      <c r="E51" s="29"/>
      <c r="F51" s="166" t="s">
        <v>260</v>
      </c>
      <c r="G51" s="166"/>
      <c r="H51" s="166"/>
      <c r="I51" s="166"/>
      <c r="J51" s="166"/>
      <c r="K51" s="166"/>
      <c r="L51" s="166"/>
      <c r="M51" s="166"/>
      <c r="N51" s="166"/>
      <c r="O51" s="166"/>
      <c r="P51" s="166"/>
      <c r="Q51" s="166" t="s">
        <v>261</v>
      </c>
      <c r="R51" s="166"/>
      <c r="S51" s="166"/>
      <c r="T51" s="166"/>
      <c r="U51" s="166"/>
      <c r="V51" s="166"/>
      <c r="W51" s="166"/>
      <c r="X51" s="166"/>
      <c r="Y51" s="166"/>
      <c r="Z51" s="166"/>
      <c r="AA51" s="166"/>
      <c r="AB51" s="171">
        <f>DI29</f>
        <v>123438.32530400004</v>
      </c>
      <c r="AC51" s="171"/>
      <c r="AD51" s="171"/>
      <c r="AE51" s="171"/>
      <c r="AF51" s="171"/>
      <c r="AG51" s="171"/>
      <c r="AH51" s="171"/>
      <c r="AI51" s="171"/>
      <c r="AJ51" s="171"/>
      <c r="AK51" s="171"/>
      <c r="AL51" s="171"/>
      <c r="AM51" s="29"/>
      <c r="AN51" s="41"/>
      <c r="AO51" s="29"/>
      <c r="AP51" s="29"/>
      <c r="AQ51" s="29"/>
      <c r="AR51" s="29"/>
      <c r="AS51" s="29"/>
      <c r="AT51" s="29"/>
      <c r="AU51" s="29"/>
      <c r="AV51" s="29"/>
      <c r="BB51" s="29"/>
      <c r="BC51" s="29"/>
      <c r="BD51" s="29"/>
      <c r="BE51" s="29"/>
      <c r="BF51" s="29"/>
      <c r="BG51" s="29"/>
      <c r="BH51" s="29"/>
      <c r="BI51" s="41"/>
      <c r="BJ51" s="29"/>
      <c r="BK51" s="29"/>
      <c r="BQ51" s="29"/>
      <c r="BR51" s="29"/>
      <c r="BS51" s="29"/>
      <c r="BT51" s="29"/>
      <c r="BU51" s="29"/>
      <c r="BV51" s="29"/>
      <c r="BW51" s="29"/>
      <c r="BX51" s="29"/>
      <c r="BY51" s="29"/>
      <c r="BZ51" s="29"/>
      <c r="CF51" s="29"/>
      <c r="CG51" s="29"/>
      <c r="CH51" s="29"/>
      <c r="CI51" s="29"/>
      <c r="CJ51" s="29"/>
      <c r="CK51" s="29"/>
      <c r="CL51" s="29"/>
      <c r="CM51" s="29"/>
      <c r="CN51" s="29"/>
      <c r="CO51" s="29"/>
      <c r="CS51" s="36"/>
    </row>
    <row r="52" spans="3:113" ht="16.05" customHeight="1" x14ac:dyDescent="0.3">
      <c r="C52" s="34"/>
      <c r="D52" s="29"/>
      <c r="E52" s="29"/>
      <c r="F52" s="166"/>
      <c r="G52" s="166"/>
      <c r="H52" s="166"/>
      <c r="I52" s="166"/>
      <c r="J52" s="166"/>
      <c r="K52" s="166"/>
      <c r="L52" s="166"/>
      <c r="M52" s="166"/>
      <c r="N52" s="166"/>
      <c r="O52" s="166"/>
      <c r="P52" s="166"/>
      <c r="Q52" s="166"/>
      <c r="R52" s="166"/>
      <c r="S52" s="166"/>
      <c r="T52" s="166"/>
      <c r="U52" s="166"/>
      <c r="V52" s="166"/>
      <c r="W52" s="166"/>
      <c r="X52" s="166"/>
      <c r="Y52" s="166"/>
      <c r="Z52" s="166"/>
      <c r="AA52" s="166"/>
      <c r="AB52" s="171"/>
      <c r="AC52" s="171"/>
      <c r="AD52" s="171"/>
      <c r="AE52" s="171"/>
      <c r="AF52" s="171"/>
      <c r="AG52" s="171"/>
      <c r="AH52" s="171"/>
      <c r="AI52" s="171"/>
      <c r="AJ52" s="171"/>
      <c r="AK52" s="171"/>
      <c r="AL52" s="171"/>
      <c r="AM52" s="29"/>
      <c r="AN52" s="41"/>
      <c r="AO52" s="29"/>
      <c r="AP52" s="29"/>
      <c r="AQ52" s="29"/>
      <c r="AR52" s="29"/>
      <c r="AS52" s="29"/>
      <c r="AT52" s="29"/>
      <c r="AU52" s="29"/>
      <c r="AV52" s="29"/>
      <c r="BB52" s="29"/>
      <c r="BC52" s="29"/>
      <c r="BD52" s="29"/>
      <c r="BE52" s="29"/>
      <c r="BF52" s="29"/>
      <c r="BG52" s="29"/>
      <c r="BH52" s="29"/>
      <c r="BI52" s="41"/>
      <c r="BJ52" s="29"/>
      <c r="BK52" s="29"/>
      <c r="BQ52" s="29"/>
      <c r="BR52" s="29"/>
      <c r="BS52" s="29"/>
      <c r="BT52" s="29"/>
      <c r="BU52" s="29"/>
      <c r="BV52" s="29"/>
      <c r="BW52" s="29"/>
      <c r="BX52" s="29"/>
      <c r="BY52" s="29"/>
      <c r="BZ52" s="29"/>
      <c r="CF52" s="29"/>
      <c r="CG52" s="29"/>
      <c r="CH52" s="29"/>
      <c r="CI52" s="29"/>
      <c r="CJ52" s="29"/>
      <c r="CK52" s="29"/>
      <c r="CL52" s="29"/>
      <c r="CM52" s="29"/>
      <c r="CN52" s="29"/>
      <c r="CO52" s="29"/>
      <c r="CS52" s="36"/>
      <c r="DH52" s="10" t="s">
        <v>262</v>
      </c>
    </row>
    <row r="53" spans="3:113" ht="16.05" customHeight="1" x14ac:dyDescent="0.3">
      <c r="C53" s="34"/>
      <c r="D53" s="29"/>
      <c r="E53" s="29"/>
      <c r="F53" s="166" t="s">
        <v>263</v>
      </c>
      <c r="G53" s="166"/>
      <c r="H53" s="166"/>
      <c r="I53" s="166"/>
      <c r="J53" s="166"/>
      <c r="K53" s="166"/>
      <c r="L53" s="166"/>
      <c r="M53" s="166"/>
      <c r="N53" s="166"/>
      <c r="O53" s="166"/>
      <c r="P53" s="166"/>
      <c r="Q53" s="166" t="s">
        <v>264</v>
      </c>
      <c r="R53" s="166"/>
      <c r="S53" s="166"/>
      <c r="T53" s="166"/>
      <c r="U53" s="166"/>
      <c r="V53" s="166"/>
      <c r="W53" s="166"/>
      <c r="X53" s="166"/>
      <c r="Y53" s="166"/>
      <c r="Z53" s="166"/>
      <c r="AA53" s="166"/>
      <c r="AB53" s="172">
        <f>INDEX('3. Workings'!$D$118:$F$118,MATCH($BH$4,'3. Workings'!$D$100:$F$100,0))</f>
        <v>3</v>
      </c>
      <c r="AC53" s="172"/>
      <c r="AD53" s="172"/>
      <c r="AE53" s="172"/>
      <c r="AF53" s="172"/>
      <c r="AG53" s="172"/>
      <c r="AH53" s="172"/>
      <c r="AI53" s="172"/>
      <c r="AJ53" s="172"/>
      <c r="AK53" s="172"/>
      <c r="AL53" s="172"/>
      <c r="AM53" s="29"/>
      <c r="AN53" s="41"/>
      <c r="AO53" s="29"/>
      <c r="AP53" s="29"/>
      <c r="AQ53" s="29"/>
      <c r="AR53" s="29"/>
      <c r="AS53" s="29"/>
      <c r="AT53" s="29"/>
      <c r="AU53" s="29"/>
      <c r="AV53" s="29"/>
      <c r="BB53" s="29"/>
      <c r="BC53" s="29"/>
      <c r="BD53" s="29"/>
      <c r="BE53" s="29"/>
      <c r="BF53" s="29"/>
      <c r="BG53" s="29"/>
      <c r="BH53" s="29"/>
      <c r="BI53" s="41"/>
      <c r="BJ53" s="29"/>
      <c r="BK53" s="29"/>
      <c r="BQ53" s="29"/>
      <c r="BR53" s="29"/>
      <c r="BS53" s="29"/>
      <c r="BT53" s="29"/>
      <c r="BU53" s="29"/>
      <c r="BV53" s="29"/>
      <c r="BW53" s="29"/>
      <c r="BX53" s="29"/>
      <c r="BY53" s="29"/>
      <c r="BZ53" s="29"/>
      <c r="CF53" s="29"/>
      <c r="CG53" s="29"/>
      <c r="CH53" s="29"/>
      <c r="CI53" s="29"/>
      <c r="CJ53" s="29"/>
      <c r="CK53" s="29"/>
      <c r="CL53" s="29"/>
      <c r="CM53" s="29"/>
      <c r="CN53" s="29"/>
      <c r="CO53" s="29"/>
      <c r="CS53" s="36"/>
      <c r="DH53" s="12" t="s">
        <v>155</v>
      </c>
      <c r="DI53" s="12" t="s">
        <v>6</v>
      </c>
    </row>
    <row r="54" spans="3:113" ht="16.05" customHeight="1" x14ac:dyDescent="0.3">
      <c r="C54" s="34"/>
      <c r="D54" s="29"/>
      <c r="E54" s="29"/>
      <c r="F54" s="166"/>
      <c r="G54" s="166"/>
      <c r="H54" s="166"/>
      <c r="I54" s="166"/>
      <c r="J54" s="166"/>
      <c r="K54" s="166"/>
      <c r="L54" s="166"/>
      <c r="M54" s="166"/>
      <c r="N54" s="166"/>
      <c r="O54" s="166"/>
      <c r="P54" s="166"/>
      <c r="Q54" s="166"/>
      <c r="R54" s="166"/>
      <c r="S54" s="166"/>
      <c r="T54" s="166"/>
      <c r="U54" s="166"/>
      <c r="V54" s="166"/>
      <c r="W54" s="166"/>
      <c r="X54" s="166"/>
      <c r="Y54" s="166"/>
      <c r="Z54" s="166"/>
      <c r="AA54" s="166"/>
      <c r="AB54" s="172"/>
      <c r="AC54" s="172"/>
      <c r="AD54" s="172"/>
      <c r="AE54" s="172"/>
      <c r="AF54" s="172"/>
      <c r="AG54" s="172"/>
      <c r="AH54" s="172"/>
      <c r="AI54" s="172"/>
      <c r="AJ54" s="172"/>
      <c r="AK54" s="172"/>
      <c r="AL54" s="172"/>
      <c r="AM54" s="29"/>
      <c r="AN54" s="41"/>
      <c r="AO54" s="29"/>
      <c r="AP54" s="29"/>
      <c r="AQ54" s="29"/>
      <c r="AR54" s="29"/>
      <c r="AS54" s="29"/>
      <c r="AT54" s="29"/>
      <c r="AU54" s="29"/>
      <c r="AV54" s="29"/>
      <c r="BB54" s="29"/>
      <c r="BC54" s="29"/>
      <c r="BD54" s="29"/>
      <c r="BE54" s="29"/>
      <c r="BF54" s="29"/>
      <c r="BG54" s="29"/>
      <c r="BH54" s="29"/>
      <c r="BI54" s="41"/>
      <c r="BJ54" s="29"/>
      <c r="BK54" s="29"/>
      <c r="BQ54" s="29"/>
      <c r="BR54" s="29"/>
      <c r="BS54" s="29"/>
      <c r="BT54" s="29"/>
      <c r="BU54" s="29"/>
      <c r="BV54" s="29"/>
      <c r="BW54" s="29"/>
      <c r="BX54" s="29"/>
      <c r="BY54" s="29"/>
      <c r="BZ54" s="29"/>
      <c r="CF54" s="29"/>
      <c r="CG54" s="29"/>
      <c r="CH54" s="29"/>
      <c r="CI54" s="29"/>
      <c r="CJ54" s="29"/>
      <c r="CK54" s="29"/>
      <c r="CL54" s="29"/>
      <c r="CM54" s="29"/>
      <c r="CN54" s="29"/>
      <c r="CO54" s="29"/>
      <c r="CS54" s="36"/>
      <c r="DH54" s="14" t="s">
        <v>265</v>
      </c>
      <c r="DI54" s="16">
        <f>INDEX('3. Workings'!$D$130:$F$130,MATCH($BH$4,'3. Workings'!$D$100:$F$100,0))</f>
        <v>427.48711340206188</v>
      </c>
    </row>
    <row r="55" spans="3:113" ht="16.05" customHeight="1" x14ac:dyDescent="0.3">
      <c r="C55" s="34"/>
      <c r="D55" s="29"/>
      <c r="E55" s="29"/>
      <c r="F55" s="166" t="s">
        <v>266</v>
      </c>
      <c r="G55" s="166"/>
      <c r="H55" s="166"/>
      <c r="I55" s="166"/>
      <c r="J55" s="166"/>
      <c r="K55" s="166"/>
      <c r="L55" s="166"/>
      <c r="M55" s="166"/>
      <c r="N55" s="166"/>
      <c r="O55" s="166"/>
      <c r="P55" s="166"/>
      <c r="Q55" s="166" t="s">
        <v>267</v>
      </c>
      <c r="R55" s="166"/>
      <c r="S55" s="166"/>
      <c r="T55" s="166"/>
      <c r="U55" s="166"/>
      <c r="V55" s="166"/>
      <c r="W55" s="166"/>
      <c r="X55" s="166"/>
      <c r="Y55" s="166"/>
      <c r="Z55" s="166"/>
      <c r="AA55" s="166"/>
      <c r="AB55" s="170">
        <f>DI34</f>
        <v>1.0013452</v>
      </c>
      <c r="AC55" s="170"/>
      <c r="AD55" s="170"/>
      <c r="AE55" s="170"/>
      <c r="AF55" s="170"/>
      <c r="AG55" s="170"/>
      <c r="AH55" s="170"/>
      <c r="AI55" s="170"/>
      <c r="AJ55" s="170"/>
      <c r="AK55" s="170"/>
      <c r="AL55" s="170"/>
      <c r="AM55" s="29"/>
      <c r="AN55" s="41"/>
      <c r="AO55" s="29"/>
      <c r="AP55" s="29"/>
      <c r="AQ55" s="29"/>
      <c r="AR55" s="29"/>
      <c r="AS55" s="29"/>
      <c r="AT55" s="29"/>
      <c r="AU55" s="29"/>
      <c r="AV55" s="29"/>
      <c r="BB55" s="29"/>
      <c r="BC55" s="29"/>
      <c r="BD55" s="29"/>
      <c r="BE55" s="29"/>
      <c r="BF55" s="29"/>
      <c r="BG55" s="29"/>
      <c r="BH55" s="29"/>
      <c r="BI55" s="41"/>
      <c r="BJ55" s="29"/>
      <c r="BK55" s="29"/>
      <c r="BQ55" s="29"/>
      <c r="BR55" s="29"/>
      <c r="BS55" s="29"/>
      <c r="BT55" s="29"/>
      <c r="BU55" s="29"/>
      <c r="BV55" s="29"/>
      <c r="BW55" s="29"/>
      <c r="BX55" s="29"/>
      <c r="BY55" s="29"/>
      <c r="BZ55" s="29"/>
      <c r="CF55" s="29"/>
      <c r="CG55" s="29"/>
      <c r="CH55" s="29"/>
      <c r="CI55" s="29"/>
      <c r="CJ55" s="29"/>
      <c r="CK55" s="29"/>
      <c r="CL55" s="29"/>
      <c r="CM55" s="29"/>
      <c r="CN55" s="29"/>
      <c r="CO55" s="29"/>
      <c r="CS55" s="36"/>
      <c r="DH55" s="14" t="s">
        <v>268</v>
      </c>
      <c r="DI55" s="16">
        <f>INDEX('3. Workings'!$D$131:$F$131,MATCH($BH$4,'3. Workings'!$D$100:$F$100,0))</f>
        <v>520</v>
      </c>
    </row>
    <row r="56" spans="3:113" ht="16.05" customHeight="1" x14ac:dyDescent="0.3">
      <c r="C56" s="34"/>
      <c r="D56" s="29"/>
      <c r="E56" s="29"/>
      <c r="F56" s="166"/>
      <c r="G56" s="166"/>
      <c r="H56" s="166"/>
      <c r="I56" s="166"/>
      <c r="J56" s="166"/>
      <c r="K56" s="166"/>
      <c r="L56" s="166"/>
      <c r="M56" s="166"/>
      <c r="N56" s="166"/>
      <c r="O56" s="166"/>
      <c r="P56" s="166"/>
      <c r="Q56" s="166"/>
      <c r="R56" s="166"/>
      <c r="S56" s="166"/>
      <c r="T56" s="166"/>
      <c r="U56" s="166"/>
      <c r="V56" s="166"/>
      <c r="W56" s="166"/>
      <c r="X56" s="166"/>
      <c r="Y56" s="166"/>
      <c r="Z56" s="166"/>
      <c r="AA56" s="166"/>
      <c r="AB56" s="170"/>
      <c r="AC56" s="170"/>
      <c r="AD56" s="170"/>
      <c r="AE56" s="170"/>
      <c r="AF56" s="170"/>
      <c r="AG56" s="170"/>
      <c r="AH56" s="170"/>
      <c r="AI56" s="170"/>
      <c r="AJ56" s="170"/>
      <c r="AK56" s="170"/>
      <c r="AL56" s="170"/>
      <c r="AM56" s="29"/>
      <c r="AN56" s="41"/>
      <c r="AO56" s="29"/>
      <c r="AP56" s="29"/>
      <c r="AQ56" s="29"/>
      <c r="AR56" s="29"/>
      <c r="AS56" s="29"/>
      <c r="AT56" s="29"/>
      <c r="AU56" s="29"/>
      <c r="AV56" s="29"/>
      <c r="BB56" s="29"/>
      <c r="BC56" s="29"/>
      <c r="BD56" s="29"/>
      <c r="BE56" s="29"/>
      <c r="BF56" s="29"/>
      <c r="BG56" s="29"/>
      <c r="BH56" s="29"/>
      <c r="BI56" s="41"/>
      <c r="BJ56" s="29"/>
      <c r="BK56" s="29"/>
      <c r="BQ56" s="29"/>
      <c r="BR56" s="29"/>
      <c r="BS56" s="29"/>
      <c r="BT56" s="29"/>
      <c r="BU56" s="29"/>
      <c r="BV56" s="29"/>
      <c r="BW56" s="29"/>
      <c r="BX56" s="29"/>
      <c r="BY56" s="29"/>
      <c r="BZ56" s="29"/>
      <c r="CF56" s="29"/>
      <c r="CG56" s="29"/>
      <c r="CH56" s="29"/>
      <c r="CI56" s="29"/>
      <c r="CJ56" s="29"/>
      <c r="CK56" s="29"/>
      <c r="CL56" s="29"/>
      <c r="CM56" s="29"/>
      <c r="CN56" s="29"/>
      <c r="CO56" s="29"/>
      <c r="CS56" s="36"/>
      <c r="DH56" s="14" t="s">
        <v>269</v>
      </c>
      <c r="DI56" s="33">
        <f>INDEX('3. Workings'!$D$132:$F$132,MATCH($BH$4,'3. Workings'!$D$100:$F$100,0))</f>
        <v>0.14476444944572123</v>
      </c>
    </row>
    <row r="57" spans="3:113" ht="16.05" customHeight="1" x14ac:dyDescent="0.3">
      <c r="C57" s="34"/>
      <c r="D57" s="29"/>
      <c r="E57" s="29"/>
      <c r="F57" s="29"/>
      <c r="G57" s="29"/>
      <c r="H57" s="29"/>
      <c r="I57" s="29"/>
      <c r="J57" s="29"/>
      <c r="K57" s="29"/>
      <c r="L57" s="29"/>
      <c r="R57" s="29"/>
      <c r="S57" s="29"/>
      <c r="T57" s="29"/>
      <c r="U57" s="29"/>
      <c r="V57" s="29"/>
      <c r="W57" s="29"/>
      <c r="X57" s="29"/>
      <c r="Y57" s="29"/>
      <c r="Z57" s="29"/>
      <c r="AM57" s="29"/>
      <c r="AN57" s="41"/>
      <c r="AO57" s="29"/>
      <c r="AP57" s="29"/>
      <c r="AQ57" s="29"/>
      <c r="AR57" s="29"/>
      <c r="AS57" s="29"/>
      <c r="AT57" s="29"/>
      <c r="AU57" s="29"/>
      <c r="AV57" s="29"/>
      <c r="BB57" s="29"/>
      <c r="BC57" s="29"/>
      <c r="BD57" s="29"/>
      <c r="BE57" s="29"/>
      <c r="BF57" s="29"/>
      <c r="BG57" s="29"/>
      <c r="BH57" s="29"/>
      <c r="BI57" s="41"/>
      <c r="BJ57" s="29"/>
      <c r="BK57" s="29"/>
      <c r="BQ57" s="29"/>
      <c r="BR57" s="29"/>
      <c r="BS57" s="29"/>
      <c r="BT57" s="29"/>
      <c r="BU57" s="29"/>
      <c r="BV57" s="29"/>
      <c r="BW57" s="29"/>
      <c r="BX57" s="29"/>
      <c r="BY57" s="29"/>
      <c r="BZ57" s="29"/>
      <c r="CF57" s="29"/>
      <c r="CG57" s="29"/>
      <c r="CH57" s="29"/>
      <c r="CI57" s="29"/>
      <c r="CJ57" s="29"/>
      <c r="CK57" s="29"/>
      <c r="CL57" s="29"/>
      <c r="CM57" s="29"/>
      <c r="CN57" s="29"/>
      <c r="CO57" s="29"/>
      <c r="CS57" s="36"/>
    </row>
    <row r="58" spans="3:113" ht="16.05" customHeight="1" x14ac:dyDescent="0.3">
      <c r="C58" s="43"/>
      <c r="D58" s="44"/>
      <c r="E58" s="44"/>
      <c r="F58" s="44"/>
      <c r="G58" s="44"/>
      <c r="H58" s="44"/>
      <c r="I58" s="44"/>
      <c r="J58" s="44"/>
      <c r="K58" s="44"/>
      <c r="L58" s="44"/>
      <c r="M58" s="45"/>
      <c r="N58" s="45"/>
      <c r="O58" s="45"/>
      <c r="P58" s="45"/>
      <c r="Q58" s="45"/>
      <c r="R58" s="44"/>
      <c r="S58" s="44"/>
      <c r="T58" s="44"/>
      <c r="U58" s="44"/>
      <c r="V58" s="44"/>
      <c r="W58" s="44"/>
      <c r="X58" s="44"/>
      <c r="Y58" s="44"/>
      <c r="Z58" s="44"/>
      <c r="AA58" s="45"/>
      <c r="AB58" s="45"/>
      <c r="AC58" s="45"/>
      <c r="AD58" s="45"/>
      <c r="AE58" s="45"/>
      <c r="AF58" s="45"/>
      <c r="AG58" s="45"/>
      <c r="AH58" s="45"/>
      <c r="AI58" s="45"/>
      <c r="AJ58" s="45"/>
      <c r="AK58" s="45"/>
      <c r="AL58" s="45"/>
      <c r="AM58" s="44"/>
      <c r="AN58" s="44"/>
      <c r="AO58" s="44"/>
      <c r="AP58" s="44"/>
      <c r="AQ58" s="44"/>
      <c r="AR58" s="44"/>
      <c r="AS58" s="44"/>
      <c r="AT58" s="44"/>
      <c r="AU58" s="44"/>
      <c r="AV58" s="44"/>
      <c r="AW58" s="45"/>
      <c r="AX58" s="45"/>
      <c r="AY58" s="45"/>
      <c r="AZ58" s="45"/>
      <c r="BA58" s="45"/>
      <c r="BB58" s="44"/>
      <c r="BC58" s="44"/>
      <c r="BD58" s="44"/>
      <c r="BE58" s="44"/>
      <c r="BF58" s="44"/>
      <c r="BG58" s="44"/>
      <c r="BH58" s="44"/>
      <c r="BI58" s="44"/>
      <c r="BJ58" s="44"/>
      <c r="BK58" s="44"/>
      <c r="BL58" s="45"/>
      <c r="BM58" s="45"/>
      <c r="BN58" s="45"/>
      <c r="BO58" s="45"/>
      <c r="BP58" s="45"/>
      <c r="BQ58" s="44"/>
      <c r="BR58" s="44"/>
      <c r="BS58" s="44"/>
      <c r="BT58" s="44"/>
      <c r="BU58" s="44"/>
      <c r="BV58" s="44"/>
      <c r="BW58" s="44"/>
      <c r="BX58" s="44"/>
      <c r="BY58" s="44"/>
      <c r="BZ58" s="44"/>
      <c r="CA58" s="45"/>
      <c r="CB58" s="45"/>
      <c r="CC58" s="45"/>
      <c r="CD58" s="45"/>
      <c r="CE58" s="45"/>
      <c r="CF58" s="44"/>
      <c r="CG58" s="44"/>
      <c r="CH58" s="44"/>
      <c r="CI58" s="44"/>
      <c r="CJ58" s="44"/>
      <c r="CK58" s="44"/>
      <c r="CL58" s="44"/>
      <c r="CM58" s="44"/>
      <c r="CN58" s="44"/>
      <c r="CO58" s="44"/>
      <c r="CP58" s="45"/>
      <c r="CQ58" s="45"/>
      <c r="CR58" s="45"/>
      <c r="CS58" s="46"/>
      <c r="DH58" s="10" t="s">
        <v>270</v>
      </c>
    </row>
    <row r="59" spans="3:113" ht="16.05" customHeight="1" x14ac:dyDescent="0.3">
      <c r="DH59" s="12" t="s">
        <v>155</v>
      </c>
      <c r="DI59" s="12" t="s">
        <v>6</v>
      </c>
    </row>
    <row r="60" spans="3:113" ht="16.05" customHeight="1" x14ac:dyDescent="0.3">
      <c r="DH60" s="14" t="s">
        <v>271</v>
      </c>
      <c r="DI60" s="24">
        <f>INDEX('3. Workings'!$D$133:$F$133,MATCH($BH$4,'3. Workings'!$D$100:$F$100,0))</f>
        <v>640050.57565037045</v>
      </c>
    </row>
    <row r="61" spans="3:113" ht="16.05" customHeight="1" x14ac:dyDescent="0.3">
      <c r="C61" s="47"/>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160" t="str">
        <f>"Selected scenario: "&amp;$BH$4</f>
        <v>Selected scenario: Aggressive</v>
      </c>
      <c r="AV61" s="160"/>
      <c r="AW61" s="160"/>
      <c r="AX61" s="160"/>
      <c r="AY61" s="160"/>
      <c r="AZ61" s="160"/>
      <c r="BA61" s="160"/>
      <c r="BB61" s="160"/>
      <c r="BD61" s="47"/>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160" t="str">
        <f>"Selected scenario: "&amp;$BH$4</f>
        <v>Selected scenario: Aggressive</v>
      </c>
      <c r="CM61" s="160"/>
      <c r="CN61" s="160"/>
      <c r="CO61" s="160"/>
      <c r="CP61" s="160"/>
      <c r="CQ61" s="160"/>
      <c r="CR61" s="160"/>
      <c r="CS61" s="160"/>
      <c r="DH61" s="14" t="s">
        <v>272</v>
      </c>
      <c r="DI61" s="24">
        <f>INDEX('3. Workings'!$D$134:$F$134,MATCH($BH$4,'3. Workings'!$D$100:$F$100,0))</f>
        <v>112466.02972142225</v>
      </c>
    </row>
    <row r="62" spans="3:113" ht="16.05" customHeight="1" x14ac:dyDescent="0.3">
      <c r="C62" s="48"/>
      <c r="AU62" s="160"/>
      <c r="AV62" s="160"/>
      <c r="AW62" s="160"/>
      <c r="AX62" s="160"/>
      <c r="AY62" s="160"/>
      <c r="AZ62" s="160"/>
      <c r="BA62" s="160"/>
      <c r="BB62" s="160"/>
      <c r="BD62" s="48"/>
      <c r="CL62" s="160"/>
      <c r="CM62" s="160"/>
      <c r="CN62" s="160"/>
      <c r="CO62" s="160"/>
      <c r="CP62" s="160"/>
      <c r="CQ62" s="160"/>
      <c r="CR62" s="160"/>
      <c r="CS62" s="160"/>
    </row>
    <row r="63" spans="3:113" ht="16.05" customHeight="1" x14ac:dyDescent="0.3">
      <c r="C63" s="48"/>
      <c r="D63" s="161" t="s">
        <v>273</v>
      </c>
      <c r="E63" s="161"/>
      <c r="F63" s="161"/>
      <c r="G63" s="161"/>
      <c r="H63" s="161"/>
      <c r="I63" s="161"/>
      <c r="J63" s="161"/>
      <c r="K63" s="161"/>
      <c r="L63" s="161"/>
      <c r="M63" s="161"/>
      <c r="N63" s="161"/>
      <c r="O63" s="161"/>
      <c r="P63" s="161"/>
      <c r="Q63" s="161"/>
      <c r="R63" s="161"/>
      <c r="S63" s="35"/>
      <c r="U63" s="161" t="s">
        <v>274</v>
      </c>
      <c r="V63" s="161"/>
      <c r="W63" s="161"/>
      <c r="X63" s="161"/>
      <c r="Y63" s="161"/>
      <c r="Z63" s="161"/>
      <c r="AA63" s="161"/>
      <c r="AB63" s="161"/>
      <c r="AC63" s="161"/>
      <c r="AD63" s="161"/>
      <c r="AE63" s="161"/>
      <c r="AF63" s="161"/>
      <c r="AG63" s="161"/>
      <c r="AH63" s="161"/>
      <c r="AI63" s="161"/>
      <c r="AJ63" s="35"/>
      <c r="AL63" s="161" t="s">
        <v>275</v>
      </c>
      <c r="AM63" s="161"/>
      <c r="AN63" s="161"/>
      <c r="AO63" s="161"/>
      <c r="AP63" s="161"/>
      <c r="AQ63" s="161"/>
      <c r="AR63" s="161"/>
      <c r="AS63" s="161"/>
      <c r="AT63" s="161"/>
      <c r="AU63" s="161"/>
      <c r="AV63" s="161"/>
      <c r="AW63" s="161"/>
      <c r="AX63" s="161"/>
      <c r="AY63" s="161"/>
      <c r="AZ63" s="161"/>
      <c r="BB63" s="36"/>
      <c r="BD63" s="48"/>
      <c r="BE63" s="161" t="s">
        <v>276</v>
      </c>
      <c r="BF63" s="161"/>
      <c r="BG63" s="161"/>
      <c r="BH63" s="161"/>
      <c r="BI63" s="161"/>
      <c r="BJ63" s="161"/>
      <c r="BK63" s="161"/>
      <c r="BL63" s="161"/>
      <c r="BM63" s="161"/>
      <c r="BN63" s="161"/>
      <c r="BO63" s="161"/>
      <c r="BP63" s="161"/>
      <c r="BQ63" s="161"/>
      <c r="BR63" s="161"/>
      <c r="BS63" s="161"/>
      <c r="BT63" s="161"/>
      <c r="BU63" s="161"/>
      <c r="BV63" s="161"/>
      <c r="BW63" s="161"/>
      <c r="BX63" s="161"/>
      <c r="BY63" s="161"/>
      <c r="BZ63" s="161"/>
      <c r="CA63" s="161"/>
      <c r="CB63" s="161"/>
      <c r="CC63" s="161"/>
      <c r="CD63" s="161"/>
      <c r="CE63" s="161"/>
      <c r="CF63" s="161"/>
      <c r="CG63" s="161"/>
      <c r="CH63" s="161"/>
      <c r="CI63" s="161"/>
      <c r="CJ63" s="161"/>
      <c r="CK63" s="161"/>
      <c r="CL63" s="161"/>
      <c r="CM63" s="161"/>
      <c r="CN63" s="161"/>
      <c r="CO63" s="161"/>
      <c r="CP63" s="161"/>
      <c r="CQ63" s="161"/>
      <c r="CR63" s="161"/>
      <c r="CS63" s="36"/>
      <c r="DH63" s="10" t="s">
        <v>277</v>
      </c>
    </row>
    <row r="64" spans="3:113" ht="16.05" customHeight="1" x14ac:dyDescent="0.3">
      <c r="C64" s="48"/>
      <c r="D64" s="173"/>
      <c r="E64" s="173"/>
      <c r="F64" s="173"/>
      <c r="G64" s="173"/>
      <c r="H64" s="173"/>
      <c r="I64" s="173"/>
      <c r="J64" s="173"/>
      <c r="K64" s="173"/>
      <c r="L64" s="173"/>
      <c r="M64" s="173"/>
      <c r="N64" s="173"/>
      <c r="O64" s="173"/>
      <c r="P64" s="173"/>
      <c r="Q64" s="173"/>
      <c r="R64" s="173"/>
      <c r="S64" s="35"/>
      <c r="AJ64" s="35"/>
      <c r="BB64" s="36"/>
      <c r="BD64" s="48"/>
      <c r="CS64" s="36"/>
      <c r="DH64" s="12" t="s">
        <v>7</v>
      </c>
      <c r="DI64" s="12" t="s">
        <v>278</v>
      </c>
    </row>
    <row r="65" spans="3:113" ht="16.05" customHeight="1" x14ac:dyDescent="0.3">
      <c r="C65" s="48"/>
      <c r="D65" s="173"/>
      <c r="E65" s="173"/>
      <c r="F65" s="173"/>
      <c r="G65" s="173"/>
      <c r="H65" s="173"/>
      <c r="I65" s="173"/>
      <c r="J65" s="173"/>
      <c r="K65" s="173"/>
      <c r="L65" s="173"/>
      <c r="M65" s="173"/>
      <c r="N65" s="173"/>
      <c r="O65" s="173"/>
      <c r="P65" s="173"/>
      <c r="Q65" s="173"/>
      <c r="R65" s="173"/>
      <c r="S65" s="35"/>
      <c r="AJ65" s="35"/>
      <c r="BB65" s="36"/>
      <c r="BD65" s="48"/>
      <c r="CS65" s="36"/>
      <c r="DH65" s="14" t="str">
        <f>"As modelled"</f>
        <v>As modelled</v>
      </c>
      <c r="DI65" s="14">
        <f>IF(ISNUMBER(INDEX('3. Workings'!$D$95:$F$95,MATCH($BH$4,'3. Workings'!$D$89:$F$89,0))),MIN(INDEX('3. Workings'!$D$95:$F$95,MATCH($BH$4,'3. Workings'!$D$89:$F$89,0)),60),60)</f>
        <v>1.5766413069170615</v>
      </c>
    </row>
    <row r="66" spans="3:113" ht="16.05" customHeight="1" x14ac:dyDescent="0.3">
      <c r="C66" s="48"/>
      <c r="D66" s="173"/>
      <c r="E66" s="173"/>
      <c r="F66" s="173"/>
      <c r="G66" s="173"/>
      <c r="H66" s="173"/>
      <c r="I66" s="173"/>
      <c r="J66" s="173"/>
      <c r="K66" s="173"/>
      <c r="L66" s="173"/>
      <c r="M66" s="173"/>
      <c r="N66" s="173"/>
      <c r="O66" s="173"/>
      <c r="P66" s="173"/>
      <c r="Q66" s="173"/>
      <c r="R66" s="173"/>
      <c r="S66" s="35"/>
      <c r="AJ66" s="35"/>
      <c r="BB66" s="36"/>
      <c r="BD66" s="48"/>
      <c r="CS66" s="36"/>
      <c r="DH66" s="14" t="str">
        <f>"Realistic downside"</f>
        <v>Realistic downside</v>
      </c>
      <c r="DI66" s="14">
        <f>IF(ISNUMBER(INDEX('3. Workings'!$D$96:$F$96,MATCH($BH$4,'3. Workings'!$D$89:$F$89,0))),MIN(INDEX('3. Workings'!$D$96:$F$96,MATCH($BH$4,'3. Workings'!$D$89:$F$89,0)),60),60)</f>
        <v>4.2414316800059826</v>
      </c>
    </row>
    <row r="67" spans="3:113" ht="16.05" customHeight="1" x14ac:dyDescent="0.3">
      <c r="C67" s="48"/>
      <c r="D67" s="173"/>
      <c r="E67" s="173"/>
      <c r="F67" s="173"/>
      <c r="G67" s="173"/>
      <c r="H67" s="173"/>
      <c r="I67" s="173"/>
      <c r="J67" s="173"/>
      <c r="K67" s="173"/>
      <c r="L67" s="173"/>
      <c r="M67" s="173"/>
      <c r="N67" s="173"/>
      <c r="O67" s="173"/>
      <c r="P67" s="173"/>
      <c r="Q67" s="173"/>
      <c r="R67" s="173"/>
      <c r="S67" s="35"/>
      <c r="AJ67" s="35"/>
      <c r="BB67" s="36"/>
      <c r="BD67" s="48"/>
      <c r="CS67" s="36"/>
      <c r="DH67" s="14" t="str">
        <f>"Absolute floor"&amp;IF(ISNUMBER(INDEX('3. Workings'!$D$97:$F$97,MATCH($BH$4,'3. Workings'!$D$89:$F$89,0))),IF(INDEX('3. Workings'!$D$97:$F$97,MATCH($BH$4,'3. Workings'!$D$89:$F$89,0))&gt;60," — capped at 60",""), " — does not pay back")</f>
        <v>Absolute floor</v>
      </c>
      <c r="DI67" s="14">
        <f>IF(ISNUMBER(INDEX('3. Workings'!$D$97:$F$97,MATCH($BH$4,'3. Workings'!$D$89:$F$89,0))),MIN(INDEX('3. Workings'!$D$97:$F$97,MATCH($BH$4,'3. Workings'!$D$89:$F$89,0)),60),60)</f>
        <v>15.787551762102826</v>
      </c>
    </row>
    <row r="68" spans="3:113" ht="16.05" customHeight="1" x14ac:dyDescent="0.3">
      <c r="C68" s="48"/>
      <c r="D68" s="173"/>
      <c r="E68" s="173"/>
      <c r="F68" s="173"/>
      <c r="G68" s="173"/>
      <c r="H68" s="173"/>
      <c r="I68" s="173"/>
      <c r="J68" s="173"/>
      <c r="K68" s="173"/>
      <c r="L68" s="173"/>
      <c r="M68" s="173"/>
      <c r="N68" s="173"/>
      <c r="O68" s="173"/>
      <c r="P68" s="173"/>
      <c r="Q68" s="173"/>
      <c r="R68" s="173"/>
      <c r="S68" s="35"/>
      <c r="AJ68" s="35"/>
      <c r="BB68" s="36"/>
      <c r="BD68" s="48"/>
      <c r="CS68" s="36"/>
    </row>
    <row r="69" spans="3:113" ht="16.05" customHeight="1" x14ac:dyDescent="0.3">
      <c r="C69" s="48"/>
      <c r="D69" s="173"/>
      <c r="E69" s="173"/>
      <c r="F69" s="173"/>
      <c r="G69" s="173"/>
      <c r="H69" s="173"/>
      <c r="I69" s="173"/>
      <c r="J69" s="173"/>
      <c r="K69" s="173"/>
      <c r="L69" s="173"/>
      <c r="M69" s="173"/>
      <c r="N69" s="173"/>
      <c r="O69" s="173"/>
      <c r="P69" s="173"/>
      <c r="Q69" s="173"/>
      <c r="R69" s="173"/>
      <c r="S69" s="35"/>
      <c r="AJ69" s="35"/>
      <c r="BB69" s="36"/>
      <c r="BD69" s="48"/>
      <c r="CS69" s="36"/>
      <c r="DH69" s="14" t="s">
        <v>279</v>
      </c>
      <c r="DI69" s="15">
        <f>INDEX('4. Forecast'!$D$50:$F$50,MATCH($BH$4,'4. Forecast'!$D$45:$F$45,0))</f>
        <v>13.832939843950562</v>
      </c>
    </row>
    <row r="70" spans="3:113" ht="16.05" customHeight="1" x14ac:dyDescent="0.3">
      <c r="C70" s="48"/>
      <c r="D70" s="173"/>
      <c r="E70" s="173"/>
      <c r="F70" s="173"/>
      <c r="G70" s="173"/>
      <c r="H70" s="173"/>
      <c r="I70" s="173"/>
      <c r="J70" s="173"/>
      <c r="K70" s="173"/>
      <c r="L70" s="173"/>
      <c r="M70" s="173"/>
      <c r="N70" s="173"/>
      <c r="O70" s="173"/>
      <c r="P70" s="173"/>
      <c r="Q70" s="173"/>
      <c r="R70" s="173"/>
      <c r="S70" s="35"/>
      <c r="AJ70" s="35"/>
      <c r="BB70" s="36"/>
      <c r="BD70" s="48"/>
      <c r="CS70" s="36"/>
      <c r="DH70" s="14" t="s">
        <v>280</v>
      </c>
      <c r="DI70" s="14" t="str">
        <f>IF(ISNUMBER(INDEX('3. Workings'!$D$97:$F$97,MATCH($BH$4,'3. Workings'!$D$89:$F$89,0))),IF(INDEX('3. Workings'!$D$97:$F$97,MATCH($BH$4,'3. Workings'!$D$89:$F$89,0))&gt;60,"YES — floor bar capped at 60","no"),"YES — floor does not pay back, plotted at 60")</f>
        <v>no</v>
      </c>
    </row>
    <row r="71" spans="3:113" ht="16.05" customHeight="1" x14ac:dyDescent="0.3">
      <c r="C71" s="48"/>
      <c r="D71" s="173"/>
      <c r="E71" s="173"/>
      <c r="F71" s="173"/>
      <c r="G71" s="173"/>
      <c r="H71" s="173"/>
      <c r="I71" s="173"/>
      <c r="J71" s="173"/>
      <c r="K71" s="173"/>
      <c r="L71" s="173"/>
      <c r="M71" s="173"/>
      <c r="N71" s="173"/>
      <c r="O71" s="173"/>
      <c r="P71" s="173"/>
      <c r="Q71" s="173"/>
      <c r="R71" s="173"/>
      <c r="S71" s="35"/>
      <c r="AJ71" s="35"/>
      <c r="BB71" s="36"/>
      <c r="BD71" s="48"/>
      <c r="CS71" s="36"/>
    </row>
    <row r="72" spans="3:113" ht="16.05" customHeight="1" x14ac:dyDescent="0.3">
      <c r="C72" s="48"/>
      <c r="D72" s="173"/>
      <c r="E72" s="173"/>
      <c r="F72" s="173"/>
      <c r="G72" s="173"/>
      <c r="H72" s="173"/>
      <c r="I72" s="173"/>
      <c r="J72" s="173"/>
      <c r="K72" s="173"/>
      <c r="L72" s="173"/>
      <c r="M72" s="173"/>
      <c r="N72" s="173"/>
      <c r="O72" s="173"/>
      <c r="P72" s="173"/>
      <c r="Q72" s="173"/>
      <c r="R72" s="173"/>
      <c r="S72" s="35"/>
      <c r="AJ72" s="35"/>
      <c r="BB72" s="36"/>
      <c r="BD72" s="48"/>
      <c r="CS72" s="36"/>
    </row>
    <row r="73" spans="3:113" ht="16.05" customHeight="1" x14ac:dyDescent="0.3">
      <c r="C73" s="48"/>
      <c r="D73" s="49"/>
      <c r="E73" s="49"/>
      <c r="F73" s="49"/>
      <c r="G73" s="49"/>
      <c r="H73" s="49"/>
      <c r="I73" s="49"/>
      <c r="J73" s="49"/>
      <c r="K73" s="49"/>
      <c r="L73" s="49"/>
      <c r="M73" s="49"/>
      <c r="N73" s="49"/>
      <c r="O73" s="49"/>
      <c r="P73" s="49"/>
      <c r="Q73" s="49"/>
      <c r="R73" s="49"/>
      <c r="S73" s="35"/>
      <c r="AJ73" s="35"/>
      <c r="BB73" s="36"/>
      <c r="BD73" s="48"/>
      <c r="CS73" s="36"/>
    </row>
    <row r="74" spans="3:113" ht="16.05" customHeight="1" x14ac:dyDescent="0.3">
      <c r="C74" s="48"/>
      <c r="D74" s="49"/>
      <c r="E74" s="49"/>
      <c r="F74" s="49"/>
      <c r="G74" s="49"/>
      <c r="H74" s="49"/>
      <c r="I74" s="49"/>
      <c r="J74" s="49"/>
      <c r="K74" s="49"/>
      <c r="L74" s="49"/>
      <c r="M74" s="49"/>
      <c r="N74" s="49"/>
      <c r="O74" s="49"/>
      <c r="P74" s="49"/>
      <c r="Q74" s="49"/>
      <c r="R74" s="49"/>
      <c r="BB74" s="36"/>
      <c r="BD74" s="48"/>
      <c r="CS74" s="36"/>
    </row>
    <row r="75" spans="3:113" ht="16.05" customHeight="1" x14ac:dyDescent="0.3">
      <c r="C75" s="48"/>
      <c r="D75" s="163" t="str">
        <f>"At the "&amp;$BH$4&amp;" rollout, ClaimPulse reduces cost to serve by "&amp;TEXT((1-((INDEX('5. Investor Metrics'!$D$9:$F$9,MATCH($BH$4,'5. Investor Metrics'!$D$6:$F$6,0)))/(INDEX('5. Investor Metrics'!$D$7:$F$7,MATCH($BH$4,'5. Investor Metrics'!$D$6:$F$6,0))))),"0.0%")&amp;" and eliminates "&amp;TEXT((((INDEX('3. Workings'!$D$11:$F$11,MATCH($BH$4,'3. Workings'!$D$6:$F$6,0)))*(INDEX('1. Assumptions and Sources'!$D$23:$D$45,MATCH("Manual touches per claim today",'1. Assumptions and Sources'!$C$23:$C$45,0))))-((INDEX('3.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Sources'!$C$23:$C$45,0))))))/1000000,"0.00")&amp;"M manual touches annually, with "&amp;TEXT(INDEX('1. Assumptions and Sources'!$D$23:$D$45,MATCH("Green lane share",'1. Assumptions and Sources'!$C$23:$C$45,0)),"0%")&amp;" of claims flowing through the straight-through lane."</f>
        <v>At the Aggressive rollout, ClaimPulse reduces cost to serve by 85.9% and eliminates 1.58M manual touches annually, with 65% of claims flowing through the straight-through lane.</v>
      </c>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B75" s="36"/>
      <c r="BD75" s="48"/>
      <c r="CS75" s="36"/>
    </row>
    <row r="76" spans="3:113" ht="16.05" customHeight="1" x14ac:dyDescent="0.3">
      <c r="C76" s="48"/>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B76" s="36"/>
      <c r="BD76" s="48"/>
      <c r="CS76" s="36"/>
    </row>
    <row r="77" spans="3:113" ht="16.05" customHeight="1" x14ac:dyDescent="0.3">
      <c r="C77" s="50"/>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45"/>
      <c r="BB77" s="46"/>
      <c r="BD77" s="48"/>
      <c r="CS77" s="36"/>
    </row>
    <row r="78" spans="3:113" ht="16.05" customHeight="1" x14ac:dyDescent="0.3">
      <c r="BD78" s="48"/>
      <c r="CS78" s="36"/>
    </row>
    <row r="79" spans="3:113" ht="16.05" customHeight="1" x14ac:dyDescent="0.3">
      <c r="C79" s="47"/>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160" t="str">
        <f>"Selected scenario: "&amp;$BH$4</f>
        <v>Selected scenario: Aggressive</v>
      </c>
      <c r="AV79" s="160"/>
      <c r="AW79" s="160"/>
      <c r="AX79" s="160"/>
      <c r="AY79" s="160"/>
      <c r="AZ79" s="160"/>
      <c r="BA79" s="160"/>
      <c r="BB79" s="160"/>
      <c r="BD79" s="48"/>
      <c r="CS79" s="36"/>
    </row>
    <row r="80" spans="3:113" ht="16.05" customHeight="1" x14ac:dyDescent="0.3">
      <c r="C80" s="48"/>
      <c r="AU80" s="160"/>
      <c r="AV80" s="160"/>
      <c r="AW80" s="160"/>
      <c r="AX80" s="160"/>
      <c r="AY80" s="160"/>
      <c r="AZ80" s="160"/>
      <c r="BA80" s="160"/>
      <c r="BB80" s="160"/>
      <c r="BD80" s="48"/>
      <c r="CS80" s="36"/>
    </row>
    <row r="81" spans="3:97" ht="16.05" customHeight="1" x14ac:dyDescent="0.25">
      <c r="C81" s="48"/>
      <c r="D81" s="161" t="s">
        <v>281</v>
      </c>
      <c r="E81" s="161"/>
      <c r="F81" s="161"/>
      <c r="G81" s="161"/>
      <c r="H81" s="161"/>
      <c r="I81" s="161"/>
      <c r="J81" s="161"/>
      <c r="K81" s="161"/>
      <c r="L81" s="161"/>
      <c r="M81" s="161"/>
      <c r="N81" s="161"/>
      <c r="P81" s="42"/>
      <c r="R81" s="161" t="s">
        <v>282</v>
      </c>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36"/>
      <c r="BD81" s="48"/>
      <c r="BE81" s="161" t="s">
        <v>283</v>
      </c>
      <c r="BF81" s="161"/>
      <c r="BG81" s="161"/>
      <c r="BH81" s="161"/>
      <c r="BI81" s="161"/>
      <c r="BJ81" s="161"/>
      <c r="BK81" s="161"/>
      <c r="BL81" s="161"/>
      <c r="BM81" s="161"/>
      <c r="BN81" s="161"/>
      <c r="BO81" s="161"/>
      <c r="BP81" s="161"/>
      <c r="BQ81" s="161"/>
      <c r="BR81" s="161"/>
      <c r="BS81" s="161"/>
      <c r="BT81" s="161"/>
      <c r="BU81" s="161"/>
      <c r="BV81" s="161"/>
      <c r="BW81" s="161"/>
      <c r="BX81" s="161"/>
      <c r="BY81" s="161"/>
      <c r="BZ81" s="161"/>
      <c r="CA81" s="161"/>
      <c r="CB81" s="161"/>
      <c r="CC81" s="161"/>
      <c r="CD81" s="161"/>
      <c r="CE81" s="161"/>
      <c r="CF81" s="161"/>
      <c r="CG81" s="161"/>
      <c r="CH81" s="161"/>
      <c r="CI81" s="161"/>
      <c r="CJ81" s="161"/>
      <c r="CK81" s="161"/>
      <c r="CL81" s="161"/>
      <c r="CM81" s="161"/>
      <c r="CN81" s="161"/>
      <c r="CO81" s="161"/>
      <c r="CP81" s="161"/>
      <c r="CQ81" s="161"/>
      <c r="CR81" s="161"/>
      <c r="CS81" s="36"/>
    </row>
    <row r="82" spans="3:97" ht="16.05" customHeight="1" x14ac:dyDescent="0.25">
      <c r="C82" s="48"/>
      <c r="P82" s="42"/>
      <c r="BB82" s="36"/>
      <c r="BD82" s="48"/>
      <c r="CS82" s="36"/>
    </row>
    <row r="83" spans="3:97" ht="16.05" customHeight="1" x14ac:dyDescent="0.25">
      <c r="C83" s="48"/>
      <c r="D83" s="174" t="s">
        <v>284</v>
      </c>
      <c r="E83" s="174"/>
      <c r="F83" s="174"/>
      <c r="G83" s="174"/>
      <c r="H83" s="174"/>
      <c r="I83" s="174"/>
      <c r="J83" s="175" t="str">
        <f>TEXT(INDEX('5. Investor Metrics'!$D$35:$F$35,MATCH($BH$4,'5. Investor Metrics'!$D$32:$F$32,0)),"0.00")</f>
        <v>9.89</v>
      </c>
      <c r="K83" s="175"/>
      <c r="L83" s="175"/>
      <c r="M83" s="175"/>
      <c r="N83" s="175"/>
      <c r="P83" s="42"/>
      <c r="BB83" s="36"/>
      <c r="BD83" s="48"/>
      <c r="CS83" s="36"/>
    </row>
    <row r="84" spans="3:97" ht="16.05" customHeight="1" x14ac:dyDescent="0.25">
      <c r="C84" s="48"/>
      <c r="D84" s="174"/>
      <c r="E84" s="174"/>
      <c r="F84" s="174"/>
      <c r="G84" s="174"/>
      <c r="H84" s="174"/>
      <c r="I84" s="174"/>
      <c r="J84" s="175"/>
      <c r="K84" s="175"/>
      <c r="L84" s="175"/>
      <c r="M84" s="175"/>
      <c r="N84" s="175"/>
      <c r="P84" s="42"/>
      <c r="BB84" s="36"/>
      <c r="BD84" s="48"/>
      <c r="CS84" s="36"/>
    </row>
    <row r="85" spans="3:97" ht="16.05" customHeight="1" x14ac:dyDescent="0.25">
      <c r="C85" s="48"/>
      <c r="J85" s="52"/>
      <c r="K85" s="52"/>
      <c r="L85" s="52"/>
      <c r="M85" s="52"/>
      <c r="N85" s="52"/>
      <c r="P85" s="42"/>
      <c r="BB85" s="36"/>
      <c r="BD85" s="48"/>
      <c r="CS85" s="36"/>
    </row>
    <row r="86" spans="3:97" ht="16.05" customHeight="1" x14ac:dyDescent="0.25">
      <c r="C86" s="48"/>
      <c r="D86" s="174" t="s">
        <v>228</v>
      </c>
      <c r="E86" s="174"/>
      <c r="F86" s="174"/>
      <c r="G86" s="174"/>
      <c r="H86" s="174"/>
      <c r="I86" s="174"/>
      <c r="J86" s="175" t="str">
        <f>TEXT(INDEX('5. Investor Metrics'!$D$33:$F$33,MATCH($BH$4,'5. Investor Metrics'!$D$32:$F$32,0)),"0.00")</f>
        <v>75.28</v>
      </c>
      <c r="K86" s="175"/>
      <c r="L86" s="175"/>
      <c r="M86" s="175"/>
      <c r="N86" s="175"/>
      <c r="P86" s="42"/>
      <c r="BB86" s="36"/>
      <c r="BD86" s="48"/>
      <c r="CS86" s="36"/>
    </row>
    <row r="87" spans="3:97" ht="16.05" customHeight="1" x14ac:dyDescent="0.25">
      <c r="C87" s="48"/>
      <c r="D87" s="174"/>
      <c r="E87" s="174"/>
      <c r="F87" s="174"/>
      <c r="G87" s="174"/>
      <c r="H87" s="174"/>
      <c r="I87" s="174"/>
      <c r="J87" s="175"/>
      <c r="K87" s="175"/>
      <c r="L87" s="175"/>
      <c r="M87" s="175"/>
      <c r="N87" s="175"/>
      <c r="P87" s="42"/>
      <c r="BB87" s="36"/>
      <c r="BD87" s="48"/>
      <c r="CS87" s="36"/>
    </row>
    <row r="88" spans="3:97" ht="16.05" customHeight="1" x14ac:dyDescent="0.25">
      <c r="C88" s="48"/>
      <c r="J88" s="52"/>
      <c r="K88" s="52"/>
      <c r="L88" s="52"/>
      <c r="M88" s="52"/>
      <c r="N88" s="52"/>
      <c r="P88" s="42"/>
      <c r="BB88" s="36"/>
      <c r="BD88" s="48"/>
      <c r="CS88" s="36"/>
    </row>
    <row r="89" spans="3:97" ht="16.05" customHeight="1" x14ac:dyDescent="0.25">
      <c r="C89" s="48"/>
      <c r="D89" s="174" t="s">
        <v>285</v>
      </c>
      <c r="E89" s="174"/>
      <c r="F89" s="174"/>
      <c r="G89" s="174"/>
      <c r="H89" s="174"/>
      <c r="I89" s="174"/>
      <c r="J89" s="175" t="str">
        <f>TEXT(IF(((INDEX('5. Investor Metrics'!$D$22:$F$22,MATCH(($BH$4),'5. Investor Metrics'!$D$32:$F$32,0)))-(INDEX('5. Investor Metrics'!$D$35:$F$35,MATCH(($BH$4),'5. Investor Metrics'!$D$32:$F$32,0))))&gt;=0,10+(INDEX('5. Investor Metrics'!$D$35:$F$35,MATCH(($BH$4),'5. Investor Metrics'!$D$32:$F$32,0)))/(INDEX('5. Investor Metrics'!$D$22:$F$22,MATCH(($BH$4),'5. Investor Metrics'!$D$32:$F$32,0)))*12,IF((((INDEX('5. Investor Metrics'!$D$22:$F$22,MATCH(($BH$4),'5. Investor Metrics'!$D$32:$F$32,0)))-(INDEX('5. Investor Metrics'!$D$35:$F$35,MATCH(($BH$4),'5. Investor Metrics'!$D$32:$F$32,0))))+(INDEX('5. Investor Metrics'!$D$23:$F$23,MATCH(($BH$4),'5. Investor Metrics'!$D$32:$F$32,0))))&gt;=0,22+(-((INDEX('5. Investor Metrics'!$D$22:$F$22,MATCH(($BH$4),'5. Investor Metrics'!$D$32:$F$32,0)))-(INDEX('5. Investor Metrics'!$D$35:$F$35,MATCH(($BH$4),'5. Investor Metrics'!$D$32:$F$32,0)))))/(INDEX('5. Investor Metrics'!$D$23:$F$23,MATCH(($BH$4),'5. Investor Metrics'!$D$32:$F$32,0)))*12,34+(-(((INDEX('5. Investor Metrics'!$D$22:$F$22,MATCH(($BH$4),'5. Investor Metrics'!$D$32:$F$32,0)))-(INDEX('5. Investor Metrics'!$D$35:$F$35,MATCH(($BH$4),'5. Investor Metrics'!$D$32:$F$32,0))))+(INDEX('5. Investor Metrics'!$D$23:$F$23,MATCH(($BH$4),'5. Investor Metrics'!$D$32:$F$32,0)))))/(INDEX('5. Investor Metrics'!$D$24:$F$24,MATCH(($BH$4),'5. Investor Metrics'!$D$32:$F$32,0)))*12)),"0.00")</f>
        <v>13.83</v>
      </c>
      <c r="K89" s="175"/>
      <c r="L89" s="175"/>
      <c r="M89" s="175"/>
      <c r="N89" s="175"/>
      <c r="P89" s="42"/>
      <c r="BB89" s="36"/>
      <c r="BD89" s="48"/>
      <c r="CS89" s="36"/>
    </row>
    <row r="90" spans="3:97" ht="16.05" customHeight="1" x14ac:dyDescent="0.25">
      <c r="C90" s="48"/>
      <c r="D90" s="174"/>
      <c r="E90" s="174"/>
      <c r="F90" s="174"/>
      <c r="G90" s="174"/>
      <c r="H90" s="174"/>
      <c r="I90" s="174"/>
      <c r="J90" s="175"/>
      <c r="K90" s="175"/>
      <c r="L90" s="175"/>
      <c r="M90" s="175"/>
      <c r="N90" s="175"/>
      <c r="P90" s="42"/>
      <c r="BB90" s="36"/>
      <c r="BD90" s="48"/>
      <c r="CS90" s="36"/>
    </row>
    <row r="91" spans="3:97" ht="16.05" customHeight="1" x14ac:dyDescent="0.25">
      <c r="C91" s="48"/>
      <c r="J91" s="53"/>
      <c r="K91" s="53"/>
      <c r="L91" s="53"/>
      <c r="M91" s="53"/>
      <c r="N91" s="53"/>
      <c r="P91" s="42"/>
      <c r="BB91" s="36"/>
      <c r="BD91" s="48"/>
      <c r="CS91" s="36"/>
    </row>
    <row r="92" spans="3:97" ht="16.05" customHeight="1" x14ac:dyDescent="0.25">
      <c r="C92" s="48"/>
      <c r="D92" s="174" t="s">
        <v>286</v>
      </c>
      <c r="E92" s="174"/>
      <c r="F92" s="174"/>
      <c r="G92" s="174"/>
      <c r="H92" s="174"/>
      <c r="I92" s="174"/>
      <c r="J92" s="175" t="str">
        <f>TEXT(INDEX('4. Forecast'!$D$49:$F$49,MATCH($BH$4,'4. Forecast'!$D$45:$F$45,0)),"0.00")</f>
        <v>140.71</v>
      </c>
      <c r="K92" s="175"/>
      <c r="L92" s="175"/>
      <c r="M92" s="175"/>
      <c r="N92" s="175"/>
      <c r="P92" s="42"/>
      <c r="BB92" s="36"/>
      <c r="BD92" s="48"/>
      <c r="CS92" s="36"/>
    </row>
    <row r="93" spans="3:97" ht="16.05" customHeight="1" x14ac:dyDescent="0.3">
      <c r="C93" s="48"/>
      <c r="D93" s="174"/>
      <c r="E93" s="174"/>
      <c r="F93" s="174"/>
      <c r="G93" s="174"/>
      <c r="H93" s="174"/>
      <c r="I93" s="174"/>
      <c r="J93" s="175"/>
      <c r="K93" s="175"/>
      <c r="L93" s="175"/>
      <c r="M93" s="175"/>
      <c r="N93" s="175"/>
      <c r="P93" s="35"/>
      <c r="BB93" s="36"/>
      <c r="BD93" s="48"/>
      <c r="CS93" s="36"/>
    </row>
    <row r="94" spans="3:97" ht="16.05" customHeight="1" x14ac:dyDescent="0.3">
      <c r="C94" s="48"/>
      <c r="J94" s="53"/>
      <c r="K94" s="53"/>
      <c r="L94" s="53"/>
      <c r="M94" s="53"/>
      <c r="N94" s="53"/>
      <c r="P94" s="35"/>
      <c r="BB94" s="36"/>
      <c r="BD94" s="48"/>
      <c r="CS94" s="36"/>
    </row>
    <row r="95" spans="3:97" ht="16.05" customHeight="1" x14ac:dyDescent="0.3">
      <c r="C95" s="48"/>
      <c r="D95" s="174" t="s">
        <v>287</v>
      </c>
      <c r="E95" s="174"/>
      <c r="F95" s="174"/>
      <c r="G95" s="174"/>
      <c r="H95" s="174"/>
      <c r="I95" s="174"/>
      <c r="J95" s="175" t="str">
        <f>TEXT(INDEX('5. Investor Metrics'!$D$28:$F$28,MATCH($BH$4,'5. Investor Metrics'!$D$20:$F$20,0)),"0.00")</f>
        <v>261.79</v>
      </c>
      <c r="K95" s="175"/>
      <c r="L95" s="175"/>
      <c r="M95" s="175"/>
      <c r="N95" s="175"/>
      <c r="P95" s="35"/>
      <c r="BB95" s="36"/>
      <c r="BD95" s="48"/>
      <c r="CS95" s="36"/>
    </row>
    <row r="96" spans="3:97" ht="16.05" customHeight="1" x14ac:dyDescent="0.3">
      <c r="C96" s="48"/>
      <c r="D96" s="174"/>
      <c r="E96" s="174"/>
      <c r="F96" s="174"/>
      <c r="G96" s="174"/>
      <c r="H96" s="174"/>
      <c r="I96" s="174"/>
      <c r="J96" s="175"/>
      <c r="K96" s="175"/>
      <c r="L96" s="175"/>
      <c r="M96" s="175"/>
      <c r="N96" s="175"/>
      <c r="P96" s="35"/>
      <c r="BB96" s="36"/>
      <c r="BD96" s="48"/>
      <c r="CS96" s="36"/>
    </row>
    <row r="97" spans="3:97" ht="16.05" customHeight="1" x14ac:dyDescent="0.3">
      <c r="C97" s="48"/>
      <c r="P97" s="35"/>
      <c r="BB97" s="36"/>
      <c r="BD97" s="48"/>
      <c r="BE97" s="163" t="str">
        <f>"At the "&amp;$BH$4&amp;" rollout, every ₹1 of annual run cost generates ₹"&amp;TEXT(INDEX('3. Workings'!$D$69:$F$69,MATCH($BH$4,'3. Workings'!$D$68:$F$68,0))/INDEX('3. Workings'!$D$70:$F$70,MATCH($BH$4,'3. Workings'!$D$68:$F$68,0)),"0.0")&amp;" of gross benefit, delivering ₹"&amp;TEXT(INDEX('3. Workings'!$D$71:$F$71,MATCH($BH$4,'3. Workings'!$D$68:$F$68,0)),"0.0")&amp;" Cr in net annual value."</f>
        <v>At the Aggressive rollout, every ₹1 of annual run cost generates ₹15.2 of gross benefit, delivering ₹75.3 Cr in net annual value.</v>
      </c>
      <c r="BF97" s="163"/>
      <c r="BG97" s="163"/>
      <c r="BH97" s="163"/>
      <c r="BI97" s="163"/>
      <c r="BJ97" s="163"/>
      <c r="BK97" s="163"/>
      <c r="BL97" s="163"/>
      <c r="BM97" s="163"/>
      <c r="BN97" s="163"/>
      <c r="BO97" s="163"/>
      <c r="BP97" s="163"/>
      <c r="BQ97" s="163"/>
      <c r="BR97" s="163"/>
      <c r="BS97" s="163"/>
      <c r="BT97" s="163"/>
      <c r="BU97" s="163"/>
      <c r="BV97" s="163"/>
      <c r="BW97" s="163"/>
      <c r="BX97" s="163"/>
      <c r="BY97" s="163"/>
      <c r="BZ97" s="163"/>
      <c r="CA97" s="163"/>
      <c r="CB97" s="163"/>
      <c r="CC97" s="163"/>
      <c r="CD97" s="163"/>
      <c r="CE97" s="163"/>
      <c r="CF97" s="163"/>
      <c r="CG97" s="163"/>
      <c r="CH97" s="163"/>
      <c r="CI97" s="163"/>
      <c r="CJ97" s="163"/>
      <c r="CK97" s="163"/>
      <c r="CL97" s="163"/>
      <c r="CM97" s="163"/>
      <c r="CN97" s="163"/>
      <c r="CO97" s="163"/>
      <c r="CP97" s="163"/>
      <c r="CQ97" s="163"/>
      <c r="CR97" s="163"/>
      <c r="CS97" s="36"/>
    </row>
    <row r="98" spans="3:97" ht="16.05" customHeight="1" x14ac:dyDescent="0.3">
      <c r="C98" s="48"/>
      <c r="D98" s="176" t="str">
        <f>"At the "&amp;$BH$4&amp;" rollout, the ₹"&amp;TEXT(J83,"0.0")&amp;" Cr build investment reaches payback in "&amp;TEXT(J89,"0.0")&amp;" months and generates ₹"&amp;TEXT(J95,"0.0")&amp;" Cr of 5-year NPV."</f>
        <v>At the Aggressive rollout, the ₹9.9 Cr build investment reaches payback in 13.8 months and generates ₹261.8 Cr of 5-year NPV.</v>
      </c>
      <c r="E98" s="176"/>
      <c r="F98" s="176"/>
      <c r="G98" s="176"/>
      <c r="H98" s="176"/>
      <c r="I98" s="176"/>
      <c r="J98" s="176"/>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6"/>
      <c r="AX98" s="176"/>
      <c r="AY98" s="176"/>
      <c r="AZ98" s="176"/>
      <c r="BA98" s="176"/>
      <c r="BB98" s="36"/>
      <c r="BD98" s="48"/>
      <c r="BE98" s="163"/>
      <c r="BF98" s="163"/>
      <c r="BG98" s="163"/>
      <c r="BH98" s="163"/>
      <c r="BI98" s="163"/>
      <c r="BJ98" s="163"/>
      <c r="BK98" s="163"/>
      <c r="BL98" s="163"/>
      <c r="BM98" s="163"/>
      <c r="BN98" s="163"/>
      <c r="BO98" s="163"/>
      <c r="BP98" s="163"/>
      <c r="BQ98" s="163"/>
      <c r="BR98" s="163"/>
      <c r="BS98" s="163"/>
      <c r="BT98" s="163"/>
      <c r="BU98" s="163"/>
      <c r="BV98" s="163"/>
      <c r="BW98" s="163"/>
      <c r="BX98" s="163"/>
      <c r="BY98" s="163"/>
      <c r="BZ98" s="163"/>
      <c r="CA98" s="163"/>
      <c r="CB98" s="163"/>
      <c r="CC98" s="163"/>
      <c r="CD98" s="163"/>
      <c r="CE98" s="163"/>
      <c r="CF98" s="163"/>
      <c r="CG98" s="163"/>
      <c r="CH98" s="163"/>
      <c r="CI98" s="163"/>
      <c r="CJ98" s="163"/>
      <c r="CK98" s="163"/>
      <c r="CL98" s="163"/>
      <c r="CM98" s="163"/>
      <c r="CN98" s="163"/>
      <c r="CO98" s="163"/>
      <c r="CP98" s="163"/>
      <c r="CQ98" s="163"/>
      <c r="CR98" s="163"/>
      <c r="CS98" s="36"/>
    </row>
    <row r="99" spans="3:97" ht="16.05" customHeight="1" x14ac:dyDescent="0.3">
      <c r="C99" s="50"/>
      <c r="D99" s="176"/>
      <c r="E99" s="176"/>
      <c r="F99" s="176"/>
      <c r="G99" s="176"/>
      <c r="H99" s="176"/>
      <c r="I99" s="176"/>
      <c r="J99" s="176"/>
      <c r="K99" s="176"/>
      <c r="L99" s="176"/>
      <c r="M99" s="176"/>
      <c r="N99" s="176"/>
      <c r="O99" s="176"/>
      <c r="P99" s="176"/>
      <c r="Q99" s="176"/>
      <c r="R99" s="176"/>
      <c r="S99" s="176"/>
      <c r="T99" s="176"/>
      <c r="U99" s="176"/>
      <c r="V99" s="176"/>
      <c r="W99" s="176"/>
      <c r="X99" s="176"/>
      <c r="Y99" s="176"/>
      <c r="Z99" s="176"/>
      <c r="AA99" s="176"/>
      <c r="AB99" s="176"/>
      <c r="AC99" s="176"/>
      <c r="AD99" s="176"/>
      <c r="AE99" s="176"/>
      <c r="AF99" s="176"/>
      <c r="AG99" s="176"/>
      <c r="AH99" s="176"/>
      <c r="AI99" s="176"/>
      <c r="AJ99" s="176"/>
      <c r="AK99" s="176"/>
      <c r="AL99" s="176"/>
      <c r="AM99" s="176"/>
      <c r="AN99" s="176"/>
      <c r="AO99" s="176"/>
      <c r="AP99" s="176"/>
      <c r="AQ99" s="176"/>
      <c r="AR99" s="176"/>
      <c r="AS99" s="176"/>
      <c r="AT99" s="176"/>
      <c r="AU99" s="176"/>
      <c r="AV99" s="176"/>
      <c r="AW99" s="176"/>
      <c r="AX99" s="176"/>
      <c r="AY99" s="176"/>
      <c r="AZ99" s="176"/>
      <c r="BA99" s="176"/>
      <c r="BB99" s="46"/>
      <c r="BD99" s="50"/>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6"/>
    </row>
    <row r="100" spans="3:97" ht="16.05" customHeight="1" x14ac:dyDescent="0.3"/>
    <row r="101" spans="3:97" ht="16.05" customHeight="1" x14ac:dyDescent="0.3">
      <c r="C101" s="47"/>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160" t="str">
        <f>"Selected scenario: "&amp;$BH$4</f>
        <v>Selected scenario: Aggressive</v>
      </c>
      <c r="CM101" s="160"/>
      <c r="CN101" s="160"/>
      <c r="CO101" s="160"/>
      <c r="CP101" s="160"/>
      <c r="CQ101" s="160"/>
      <c r="CR101" s="160"/>
      <c r="CS101" s="160"/>
    </row>
    <row r="102" spans="3:97" ht="16.05" customHeight="1" x14ac:dyDescent="0.3">
      <c r="C102" s="48"/>
      <c r="CL102" s="160"/>
      <c r="CM102" s="160"/>
      <c r="CN102" s="160"/>
      <c r="CO102" s="160"/>
      <c r="CP102" s="160"/>
      <c r="CQ102" s="160"/>
      <c r="CR102" s="160"/>
      <c r="CS102" s="160"/>
    </row>
    <row r="103" spans="3:97" ht="16.05" customHeight="1" x14ac:dyDescent="0.3">
      <c r="C103" s="48"/>
      <c r="D103" s="161" t="s">
        <v>288</v>
      </c>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c r="AA103" s="161"/>
      <c r="AB103" s="161"/>
      <c r="AC103" s="161"/>
      <c r="AD103" s="161"/>
      <c r="AE103" s="161"/>
      <c r="AF103" s="161"/>
      <c r="AG103" s="161"/>
      <c r="AH103" s="161"/>
      <c r="AI103" s="161"/>
      <c r="AJ103" s="54"/>
      <c r="AK103" s="55"/>
      <c r="AL103" s="161" t="s">
        <v>289</v>
      </c>
      <c r="AM103" s="161"/>
      <c r="AN103" s="161"/>
      <c r="AO103" s="161"/>
      <c r="AP103" s="161"/>
      <c r="AQ103" s="161"/>
      <c r="AR103" s="161"/>
      <c r="AS103" s="161"/>
      <c r="AT103" s="161"/>
      <c r="AU103" s="161"/>
      <c r="AV103" s="161"/>
      <c r="AW103" s="161"/>
      <c r="AX103" s="161"/>
      <c r="AY103" s="161"/>
      <c r="AZ103" s="161"/>
      <c r="BA103" s="161"/>
      <c r="BB103" s="161"/>
      <c r="BC103" s="161"/>
      <c r="BD103" s="161"/>
      <c r="BE103" s="161"/>
      <c r="BF103" s="161"/>
      <c r="BG103" s="161"/>
      <c r="BH103" s="161"/>
      <c r="BI103" s="55"/>
      <c r="BJ103" s="55"/>
      <c r="BK103" s="161" t="s">
        <v>290</v>
      </c>
      <c r="BL103" s="161"/>
      <c r="BM103" s="161"/>
      <c r="BN103" s="161"/>
      <c r="BO103" s="161"/>
      <c r="BP103" s="161"/>
      <c r="BQ103" s="161"/>
      <c r="BR103" s="161"/>
      <c r="BS103" s="161"/>
      <c r="BT103" s="161"/>
      <c r="BU103" s="161"/>
      <c r="BV103" s="161"/>
      <c r="BW103" s="161"/>
      <c r="BX103" s="161"/>
      <c r="BY103" s="161"/>
      <c r="BZ103" s="161"/>
      <c r="CA103" s="161"/>
      <c r="CB103" s="161"/>
      <c r="CC103" s="161"/>
      <c r="CD103" s="161"/>
      <c r="CE103" s="161"/>
      <c r="CF103" s="161"/>
      <c r="CG103" s="161"/>
      <c r="CH103" s="161"/>
      <c r="CI103" s="161"/>
      <c r="CJ103" s="161"/>
      <c r="CK103" s="161"/>
      <c r="CL103" s="161"/>
      <c r="CM103" s="161"/>
      <c r="CN103" s="161"/>
      <c r="CO103" s="161"/>
      <c r="CP103" s="161"/>
      <c r="CS103" s="36"/>
    </row>
    <row r="104" spans="3:97" ht="16.05" customHeight="1" x14ac:dyDescent="0.3">
      <c r="C104" s="48"/>
      <c r="AJ104" s="35"/>
      <c r="BI104" s="35"/>
      <c r="CS104" s="36"/>
    </row>
    <row r="105" spans="3:97" ht="16.05" customHeight="1" x14ac:dyDescent="0.3">
      <c r="C105" s="48"/>
      <c r="D105" s="177" t="s">
        <v>291</v>
      </c>
      <c r="E105" s="177"/>
      <c r="F105" s="177"/>
      <c r="G105" s="177"/>
      <c r="H105" s="177"/>
      <c r="I105" s="177"/>
      <c r="J105" s="177"/>
      <c r="K105" s="177"/>
      <c r="L105" s="177"/>
      <c r="M105" s="177"/>
      <c r="N105" s="177"/>
      <c r="O105" s="177"/>
      <c r="P105" s="177"/>
      <c r="Q105" s="178"/>
      <c r="R105" s="178"/>
      <c r="S105" s="178"/>
      <c r="T105" s="178"/>
      <c r="U105" s="178"/>
      <c r="V105" s="178"/>
      <c r="X105" s="179" t="s">
        <v>292</v>
      </c>
      <c r="Y105" s="179"/>
      <c r="Z105" s="179"/>
      <c r="AA105" s="179"/>
      <c r="AB105" s="179"/>
      <c r="AC105" s="179"/>
      <c r="AD105" s="179"/>
      <c r="AE105" s="179"/>
      <c r="AF105" s="179"/>
      <c r="AG105" s="179"/>
      <c r="AH105" s="179"/>
      <c r="AI105" s="179"/>
      <c r="AJ105" s="57"/>
      <c r="AL105" s="177" t="s">
        <v>293</v>
      </c>
      <c r="AM105" s="177"/>
      <c r="AN105" s="177"/>
      <c r="AO105" s="177"/>
      <c r="AP105" s="177"/>
      <c r="AQ105" s="177"/>
      <c r="AR105" s="177"/>
      <c r="AS105" s="177"/>
      <c r="AT105" s="177"/>
      <c r="AU105" s="177"/>
      <c r="AV105" s="177"/>
      <c r="AW105" s="177"/>
      <c r="AX105" s="177"/>
      <c r="AY105" s="180" t="str">
        <f>"₹"&amp;TEXT(INDEX('3. Workings'!$D$71:$F$71,MATCH($BH$4,'3. Workings'!$D$68:$F$68,0)),"0.0")&amp;" Cr"</f>
        <v>₹75.3 Cr</v>
      </c>
      <c r="AZ105" s="180"/>
      <c r="BA105" s="180"/>
      <c r="BB105" s="180"/>
      <c r="BC105" s="180"/>
      <c r="BD105" s="180"/>
      <c r="BE105" s="180"/>
      <c r="BF105" s="180"/>
      <c r="BG105" s="180"/>
      <c r="BH105" s="180"/>
      <c r="BI105" s="35"/>
      <c r="BK105" s="177" t="str">
        <f>"Manual touches per claim  ·  we assume "&amp;TEXT('1. Assumptions and Sources'!$F$147,"0.0")</f>
        <v>Manual touches per claim  ·  we assume 7.0</v>
      </c>
      <c r="BL105" s="177"/>
      <c r="BM105" s="177"/>
      <c r="BN105" s="177"/>
      <c r="BO105" s="177"/>
      <c r="BP105" s="177"/>
      <c r="BQ105" s="177"/>
      <c r="BR105" s="177"/>
      <c r="BS105" s="177"/>
      <c r="BT105" s="177"/>
      <c r="BU105" s="177"/>
      <c r="BW105" s="181" t="str">
        <f>"Breaks at "&amp;TEXT(INDEX('3. Workings'!$D$138:$F$138,MATCH($BH$4,'3. Workings'!$D$137:$F$137,0)),"0.0")&amp;"   ·   "&amp;IF(INDEX('3. Workings'!$D$139:$F$139,MATCH($BH$4,'3. Workings'!$D$137:$F$137,0))&gt;0,TEXT(INDEX('3. Workings'!$D$139:$F$139,MATCH($BH$4,'3. Workings'!$D$137:$F$137,0)),"0%")&amp;" cushion","NO cushion at this plan")</f>
        <v>Breaks at 1.8   ·   75% cushion</v>
      </c>
      <c r="BX105" s="181"/>
      <c r="BY105" s="181"/>
      <c r="BZ105" s="181"/>
      <c r="CA105" s="181"/>
      <c r="CB105" s="181"/>
      <c r="CC105" s="181"/>
      <c r="CD105" s="181"/>
      <c r="CE105" s="181"/>
      <c r="CF105" s="181"/>
      <c r="CG105" s="181"/>
      <c r="CH105" s="181"/>
      <c r="CI105" s="181"/>
      <c r="CJ105" s="181"/>
      <c r="CK105" s="181"/>
      <c r="CL105" s="181"/>
      <c r="CM105" s="181"/>
      <c r="CN105" s="181"/>
      <c r="CO105" s="181"/>
      <c r="CP105" s="181"/>
      <c r="CQ105" s="181"/>
      <c r="CR105" s="181"/>
      <c r="CS105" s="36"/>
    </row>
    <row r="106" spans="3:97" ht="16.05" customHeight="1" x14ac:dyDescent="0.3">
      <c r="C106" s="48"/>
      <c r="D106" s="177"/>
      <c r="E106" s="177"/>
      <c r="F106" s="177"/>
      <c r="G106" s="177"/>
      <c r="H106" s="177"/>
      <c r="I106" s="177"/>
      <c r="J106" s="177"/>
      <c r="K106" s="177"/>
      <c r="L106" s="177"/>
      <c r="M106" s="177"/>
      <c r="N106" s="177"/>
      <c r="O106" s="177"/>
      <c r="P106" s="177"/>
      <c r="Q106" s="178"/>
      <c r="R106" s="178"/>
      <c r="S106" s="178"/>
      <c r="T106" s="178"/>
      <c r="U106" s="178"/>
      <c r="V106" s="178"/>
      <c r="X106" s="179"/>
      <c r="Y106" s="179"/>
      <c r="Z106" s="179"/>
      <c r="AA106" s="179"/>
      <c r="AB106" s="179"/>
      <c r="AC106" s="179"/>
      <c r="AD106" s="179"/>
      <c r="AE106" s="179"/>
      <c r="AF106" s="179"/>
      <c r="AG106" s="179"/>
      <c r="AH106" s="179"/>
      <c r="AI106" s="179"/>
      <c r="AJ106" s="57"/>
      <c r="AL106" s="177"/>
      <c r="AM106" s="177"/>
      <c r="AN106" s="177"/>
      <c r="AO106" s="177"/>
      <c r="AP106" s="177"/>
      <c r="AQ106" s="177"/>
      <c r="AR106" s="177"/>
      <c r="AS106" s="177"/>
      <c r="AT106" s="177"/>
      <c r="AU106" s="177"/>
      <c r="AV106" s="177"/>
      <c r="AW106" s="177"/>
      <c r="AX106" s="177"/>
      <c r="AY106" s="180"/>
      <c r="AZ106" s="180"/>
      <c r="BA106" s="180"/>
      <c r="BB106" s="180"/>
      <c r="BC106" s="180"/>
      <c r="BD106" s="180"/>
      <c r="BE106" s="180"/>
      <c r="BF106" s="180"/>
      <c r="BG106" s="180"/>
      <c r="BH106" s="180"/>
      <c r="BI106" s="35"/>
      <c r="BK106" s="177"/>
      <c r="BL106" s="177"/>
      <c r="BM106" s="177"/>
      <c r="BN106" s="177"/>
      <c r="BO106" s="177"/>
      <c r="BP106" s="177"/>
      <c r="BQ106" s="177"/>
      <c r="BR106" s="177"/>
      <c r="BS106" s="177"/>
      <c r="BT106" s="177"/>
      <c r="BU106" s="177"/>
      <c r="BW106" s="181"/>
      <c r="BX106" s="181"/>
      <c r="BY106" s="181"/>
      <c r="BZ106" s="181"/>
      <c r="CA106" s="181"/>
      <c r="CB106" s="181"/>
      <c r="CC106" s="181"/>
      <c r="CD106" s="181"/>
      <c r="CE106" s="181"/>
      <c r="CF106" s="181"/>
      <c r="CG106" s="181"/>
      <c r="CH106" s="181"/>
      <c r="CI106" s="181"/>
      <c r="CJ106" s="181"/>
      <c r="CK106" s="181"/>
      <c r="CL106" s="181"/>
      <c r="CM106" s="181"/>
      <c r="CN106" s="181"/>
      <c r="CO106" s="181"/>
      <c r="CP106" s="181"/>
      <c r="CQ106" s="181"/>
      <c r="CR106" s="181"/>
      <c r="CS106" s="36"/>
    </row>
    <row r="107" spans="3:97" ht="16.05" customHeight="1" x14ac:dyDescent="0.3">
      <c r="C107" s="48"/>
      <c r="AD107" s="39"/>
      <c r="AE107" s="39"/>
      <c r="AF107" s="39"/>
      <c r="AG107" s="39"/>
      <c r="AH107" s="39"/>
      <c r="AI107" s="39"/>
      <c r="AJ107" s="57"/>
      <c r="AL107" s="55"/>
      <c r="BI107" s="35"/>
      <c r="BK107" s="177"/>
      <c r="BL107" s="177"/>
      <c r="BM107" s="177"/>
      <c r="BN107" s="177"/>
      <c r="BO107" s="177"/>
      <c r="BP107" s="177"/>
      <c r="BQ107" s="177"/>
      <c r="BR107" s="177"/>
      <c r="BS107" s="177"/>
      <c r="BT107" s="177"/>
      <c r="BU107" s="177"/>
      <c r="BW107" s="181"/>
      <c r="BX107" s="181"/>
      <c r="BY107" s="181"/>
      <c r="BZ107" s="181"/>
      <c r="CA107" s="181"/>
      <c r="CB107" s="181"/>
      <c r="CC107" s="181"/>
      <c r="CD107" s="181"/>
      <c r="CE107" s="181"/>
      <c r="CF107" s="181"/>
      <c r="CG107" s="181"/>
      <c r="CH107" s="181"/>
      <c r="CI107" s="181"/>
      <c r="CJ107" s="181"/>
      <c r="CK107" s="181"/>
      <c r="CL107" s="181"/>
      <c r="CM107" s="181"/>
      <c r="CN107" s="181"/>
      <c r="CO107" s="181"/>
      <c r="CP107" s="181"/>
      <c r="CQ107" s="181"/>
      <c r="CR107" s="181"/>
      <c r="CS107" s="36"/>
    </row>
    <row r="108" spans="3:97" ht="16.05" customHeight="1" x14ac:dyDescent="0.3">
      <c r="C108" s="48"/>
      <c r="D108" s="177" t="s">
        <v>294</v>
      </c>
      <c r="E108" s="177"/>
      <c r="F108" s="177"/>
      <c r="G108" s="177"/>
      <c r="H108" s="177"/>
      <c r="I108" s="177"/>
      <c r="J108" s="177"/>
      <c r="K108" s="177"/>
      <c r="L108" s="177"/>
      <c r="M108" s="177"/>
      <c r="N108" s="177"/>
      <c r="O108" s="177"/>
      <c r="P108" s="177"/>
      <c r="Q108" s="178"/>
      <c r="R108" s="178"/>
      <c r="S108" s="178"/>
      <c r="T108" s="178"/>
      <c r="U108" s="178"/>
      <c r="V108" s="178"/>
      <c r="X108" s="179" t="s">
        <v>295</v>
      </c>
      <c r="Y108" s="179"/>
      <c r="Z108" s="179"/>
      <c r="AA108" s="179"/>
      <c r="AB108" s="179"/>
      <c r="AC108" s="179"/>
      <c r="AD108" s="179"/>
      <c r="AE108" s="179"/>
      <c r="AF108" s="179"/>
      <c r="AG108" s="179"/>
      <c r="AH108" s="179"/>
      <c r="AI108" s="179"/>
      <c r="AJ108" s="57"/>
      <c r="AL108" s="177" t="s">
        <v>34</v>
      </c>
      <c r="AM108" s="177"/>
      <c r="AN108" s="177"/>
      <c r="AO108" s="177"/>
      <c r="AP108" s="177"/>
      <c r="AQ108" s="177"/>
      <c r="AR108" s="177"/>
      <c r="AS108" s="177"/>
      <c r="AT108" s="177"/>
      <c r="AU108" s="177"/>
      <c r="AV108" s="177"/>
      <c r="AW108" s="177"/>
      <c r="AX108" s="177"/>
      <c r="AY108" s="180" t="str">
        <f>TEXT(INDEX('4. Forecast'!$D$50:$F$50,MATCH($BH$4,'4. Forecast'!$D$45:$F$45,0)),"0.0")&amp;" months"</f>
        <v>13.8 months</v>
      </c>
      <c r="AZ108" s="180"/>
      <c r="BA108" s="180"/>
      <c r="BB108" s="180"/>
      <c r="BC108" s="180"/>
      <c r="BD108" s="180"/>
      <c r="BE108" s="180"/>
      <c r="BF108" s="180"/>
      <c r="BG108" s="180"/>
      <c r="BH108" s="180"/>
      <c r="BI108" s="35"/>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36"/>
    </row>
    <row r="109" spans="3:97" ht="16.05" customHeight="1" x14ac:dyDescent="0.3">
      <c r="C109" s="48"/>
      <c r="D109" s="177"/>
      <c r="E109" s="177"/>
      <c r="F109" s="177"/>
      <c r="G109" s="177"/>
      <c r="H109" s="177"/>
      <c r="I109" s="177"/>
      <c r="J109" s="177"/>
      <c r="K109" s="177"/>
      <c r="L109" s="177"/>
      <c r="M109" s="177"/>
      <c r="N109" s="177"/>
      <c r="O109" s="177"/>
      <c r="P109" s="177"/>
      <c r="Q109" s="178"/>
      <c r="R109" s="178"/>
      <c r="S109" s="178"/>
      <c r="T109" s="178"/>
      <c r="U109" s="178"/>
      <c r="V109" s="178"/>
      <c r="X109" s="179"/>
      <c r="Y109" s="179"/>
      <c r="Z109" s="179"/>
      <c r="AA109" s="179"/>
      <c r="AB109" s="179"/>
      <c r="AC109" s="179"/>
      <c r="AD109" s="179"/>
      <c r="AE109" s="179"/>
      <c r="AF109" s="179"/>
      <c r="AG109" s="179"/>
      <c r="AH109" s="179"/>
      <c r="AI109" s="179"/>
      <c r="AJ109" s="57"/>
      <c r="AL109" s="177"/>
      <c r="AM109" s="177"/>
      <c r="AN109" s="177"/>
      <c r="AO109" s="177"/>
      <c r="AP109" s="177"/>
      <c r="AQ109" s="177"/>
      <c r="AR109" s="177"/>
      <c r="AS109" s="177"/>
      <c r="AT109" s="177"/>
      <c r="AU109" s="177"/>
      <c r="AV109" s="177"/>
      <c r="AW109" s="177"/>
      <c r="AX109" s="177"/>
      <c r="AY109" s="180"/>
      <c r="AZ109" s="180"/>
      <c r="BA109" s="180"/>
      <c r="BB109" s="180"/>
      <c r="BC109" s="180"/>
      <c r="BD109" s="180"/>
      <c r="BE109" s="180"/>
      <c r="BF109" s="180"/>
      <c r="BG109" s="180"/>
      <c r="BH109" s="180"/>
      <c r="BI109" s="35"/>
      <c r="BK109" s="177" t="str">
        <f>"Cost per manual touch  ·  we assume ₹"&amp;TEXT(INDEX('1. Assumptions and Sources'!$D$55:$F$55,MATCH($BH$4,'1. Assumptions and Sources'!$D$53:$F$53,0)),"0")</f>
        <v>Cost per manual touch  ·  we assume ₹200</v>
      </c>
      <c r="BL109" s="177"/>
      <c r="BM109" s="177"/>
      <c r="BN109" s="177"/>
      <c r="BO109" s="177"/>
      <c r="BP109" s="177"/>
      <c r="BQ109" s="177"/>
      <c r="BR109" s="177"/>
      <c r="BS109" s="177"/>
      <c r="BT109" s="177"/>
      <c r="BU109" s="177"/>
      <c r="BW109" s="181" t="str">
        <f>"Breaks at "&amp;TEXT(INDEX('3. Workings'!$D$140:$F$140,MATCH($BH$4,'3. Workings'!$D$137:$F$137,0)),"0")&amp;"   ·   "&amp;IF(INDEX('3. Workings'!$D$141:$F$141,MATCH($BH$4,'3. Workings'!$D$137:$F$137,0))&gt;0,TEXT(INDEX('3. Workings'!$D$141:$F$141,MATCH($BH$4,'3. Workings'!$D$137:$F$137,0)),"0%")&amp;" cushion","NO cushion at this plan")</f>
        <v>Breaks at 63   ·   75% cushion</v>
      </c>
      <c r="BX109" s="181"/>
      <c r="BY109" s="181"/>
      <c r="BZ109" s="181"/>
      <c r="CA109" s="181"/>
      <c r="CB109" s="181"/>
      <c r="CC109" s="181"/>
      <c r="CD109" s="181"/>
      <c r="CE109" s="181"/>
      <c r="CF109" s="181"/>
      <c r="CG109" s="181"/>
      <c r="CH109" s="181"/>
      <c r="CI109" s="181"/>
      <c r="CJ109" s="181"/>
      <c r="CK109" s="181"/>
      <c r="CL109" s="181"/>
      <c r="CM109" s="181"/>
      <c r="CN109" s="181"/>
      <c r="CO109" s="181"/>
      <c r="CP109" s="181"/>
      <c r="CQ109" s="181"/>
      <c r="CR109" s="181"/>
      <c r="CS109" s="36"/>
    </row>
    <row r="110" spans="3:97" ht="16.05" customHeight="1" x14ac:dyDescent="0.3">
      <c r="C110" s="48"/>
      <c r="AD110" s="39"/>
      <c r="AE110" s="39"/>
      <c r="AF110" s="39"/>
      <c r="AG110" s="39"/>
      <c r="AH110" s="39"/>
      <c r="AI110" s="39"/>
      <c r="AJ110" s="57"/>
      <c r="BI110" s="35"/>
      <c r="BK110" s="177"/>
      <c r="BL110" s="177"/>
      <c r="BM110" s="177"/>
      <c r="BN110" s="177"/>
      <c r="BO110" s="177"/>
      <c r="BP110" s="177"/>
      <c r="BQ110" s="177"/>
      <c r="BR110" s="177"/>
      <c r="BS110" s="177"/>
      <c r="BT110" s="177"/>
      <c r="BU110" s="177"/>
      <c r="BW110" s="181"/>
      <c r="BX110" s="181"/>
      <c r="BY110" s="181"/>
      <c r="BZ110" s="181"/>
      <c r="CA110" s="181"/>
      <c r="CB110" s="181"/>
      <c r="CC110" s="181"/>
      <c r="CD110" s="181"/>
      <c r="CE110" s="181"/>
      <c r="CF110" s="181"/>
      <c r="CG110" s="181"/>
      <c r="CH110" s="181"/>
      <c r="CI110" s="181"/>
      <c r="CJ110" s="181"/>
      <c r="CK110" s="181"/>
      <c r="CL110" s="181"/>
      <c r="CM110" s="181"/>
      <c r="CN110" s="181"/>
      <c r="CO110" s="181"/>
      <c r="CP110" s="181"/>
      <c r="CQ110" s="181"/>
      <c r="CR110" s="181"/>
      <c r="CS110" s="36"/>
    </row>
    <row r="111" spans="3:97" ht="16.05" customHeight="1" x14ac:dyDescent="0.3">
      <c r="C111" s="48"/>
      <c r="D111" s="177" t="s">
        <v>296</v>
      </c>
      <c r="E111" s="177"/>
      <c r="F111" s="177"/>
      <c r="G111" s="177"/>
      <c r="H111" s="177"/>
      <c r="I111" s="177"/>
      <c r="J111" s="177"/>
      <c r="K111" s="177"/>
      <c r="L111" s="177"/>
      <c r="M111" s="177"/>
      <c r="N111" s="177"/>
      <c r="O111" s="177"/>
      <c r="P111" s="177"/>
      <c r="Q111" s="178"/>
      <c r="R111" s="178"/>
      <c r="S111" s="178"/>
      <c r="T111" s="178"/>
      <c r="U111" s="178"/>
      <c r="V111" s="178"/>
      <c r="X111" s="179" t="s">
        <v>297</v>
      </c>
      <c r="Y111" s="179"/>
      <c r="Z111" s="179"/>
      <c r="AA111" s="179"/>
      <c r="AB111" s="179"/>
      <c r="AC111" s="179"/>
      <c r="AD111" s="179"/>
      <c r="AE111" s="179"/>
      <c r="AF111" s="179"/>
      <c r="AG111" s="179"/>
      <c r="AH111" s="179"/>
      <c r="AI111" s="179"/>
      <c r="AJ111" s="35"/>
      <c r="AL111" s="177" t="s">
        <v>298</v>
      </c>
      <c r="AM111" s="177"/>
      <c r="AN111" s="177"/>
      <c r="AO111" s="177"/>
      <c r="AP111" s="177"/>
      <c r="AQ111" s="177"/>
      <c r="AR111" s="177"/>
      <c r="AS111" s="177"/>
      <c r="AT111" s="177"/>
      <c r="AU111" s="177"/>
      <c r="AV111" s="177"/>
      <c r="AW111" s="177"/>
      <c r="AX111" s="177"/>
      <c r="AY111" s="180" t="str">
        <f>TEXT(INDEX('3. Workings'!$D$96:$F$96,MATCH($BH$4,'3. Workings'!$D$89:$F$89,0)),"0.0")&amp;" months"</f>
        <v>4.2 months</v>
      </c>
      <c r="AZ111" s="180"/>
      <c r="BA111" s="180"/>
      <c r="BB111" s="180"/>
      <c r="BC111" s="180"/>
      <c r="BD111" s="180"/>
      <c r="BE111" s="180"/>
      <c r="BF111" s="180"/>
      <c r="BG111" s="180"/>
      <c r="BH111" s="180"/>
      <c r="BI111" s="35"/>
      <c r="BK111" s="177"/>
      <c r="BL111" s="177"/>
      <c r="BM111" s="177"/>
      <c r="BN111" s="177"/>
      <c r="BO111" s="177"/>
      <c r="BP111" s="177"/>
      <c r="BQ111" s="177"/>
      <c r="BR111" s="177"/>
      <c r="BS111" s="177"/>
      <c r="BT111" s="177"/>
      <c r="BU111" s="177"/>
      <c r="BW111" s="181"/>
      <c r="BX111" s="181"/>
      <c r="BY111" s="181"/>
      <c r="BZ111" s="181"/>
      <c r="CA111" s="181"/>
      <c r="CB111" s="181"/>
      <c r="CC111" s="181"/>
      <c r="CD111" s="181"/>
      <c r="CE111" s="181"/>
      <c r="CF111" s="181"/>
      <c r="CG111" s="181"/>
      <c r="CH111" s="181"/>
      <c r="CI111" s="181"/>
      <c r="CJ111" s="181"/>
      <c r="CK111" s="181"/>
      <c r="CL111" s="181"/>
      <c r="CM111" s="181"/>
      <c r="CN111" s="181"/>
      <c r="CO111" s="181"/>
      <c r="CP111" s="181"/>
      <c r="CQ111" s="181"/>
      <c r="CR111" s="181"/>
      <c r="CS111" s="36"/>
    </row>
    <row r="112" spans="3:97" ht="16.05" customHeight="1" x14ac:dyDescent="0.3">
      <c r="C112" s="48"/>
      <c r="D112" s="177"/>
      <c r="E112" s="177"/>
      <c r="F112" s="177"/>
      <c r="G112" s="177"/>
      <c r="H112" s="177"/>
      <c r="I112" s="177"/>
      <c r="J112" s="177"/>
      <c r="K112" s="177"/>
      <c r="L112" s="177"/>
      <c r="M112" s="177"/>
      <c r="N112" s="177"/>
      <c r="O112" s="177"/>
      <c r="P112" s="177"/>
      <c r="Q112" s="178"/>
      <c r="R112" s="178"/>
      <c r="S112" s="178"/>
      <c r="T112" s="178"/>
      <c r="U112" s="178"/>
      <c r="V112" s="178"/>
      <c r="X112" s="179"/>
      <c r="Y112" s="179"/>
      <c r="Z112" s="179"/>
      <c r="AA112" s="179"/>
      <c r="AB112" s="179"/>
      <c r="AC112" s="179"/>
      <c r="AD112" s="179"/>
      <c r="AE112" s="179"/>
      <c r="AF112" s="179"/>
      <c r="AG112" s="179"/>
      <c r="AH112" s="179"/>
      <c r="AI112" s="179"/>
      <c r="AJ112" s="35"/>
      <c r="AL112" s="177"/>
      <c r="AM112" s="177"/>
      <c r="AN112" s="177"/>
      <c r="AO112" s="177"/>
      <c r="AP112" s="177"/>
      <c r="AQ112" s="177"/>
      <c r="AR112" s="177"/>
      <c r="AS112" s="177"/>
      <c r="AT112" s="177"/>
      <c r="AU112" s="177"/>
      <c r="AV112" s="177"/>
      <c r="AW112" s="177"/>
      <c r="AX112" s="177"/>
      <c r="AY112" s="180"/>
      <c r="AZ112" s="180"/>
      <c r="BA112" s="180"/>
      <c r="BB112" s="180"/>
      <c r="BC112" s="180"/>
      <c r="BD112" s="180"/>
      <c r="BE112" s="180"/>
      <c r="BF112" s="180"/>
      <c r="BG112" s="180"/>
      <c r="BH112" s="180"/>
      <c r="BI112" s="35"/>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36"/>
    </row>
    <row r="113" spans="3:97" ht="16.05" customHeight="1" x14ac:dyDescent="0.3">
      <c r="C113" s="48"/>
      <c r="AJ113" s="35"/>
      <c r="BI113" s="35"/>
      <c r="BK113" s="177" t="str">
        <f>"Rollout of the book  ·  we plan "&amp;TEXT(INDEX('3. Workings'!$D$12:$F$12,MATCH($BH$4,'3. Workings'!$D$6:$F$6,0)),"0%")</f>
        <v>Rollout of the book  ·  we plan 100%</v>
      </c>
      <c r="BL113" s="177"/>
      <c r="BM113" s="177"/>
      <c r="BN113" s="177"/>
      <c r="BO113" s="177"/>
      <c r="BP113" s="177"/>
      <c r="BQ113" s="177"/>
      <c r="BR113" s="177"/>
      <c r="BS113" s="177"/>
      <c r="BT113" s="177"/>
      <c r="BU113" s="177"/>
      <c r="BW113" s="181" t="str">
        <f>"Breaks at "&amp;TEXT(INDEX('3. Workings'!$D$142:$F$142,MATCH($BH$4,'3. Workings'!$D$137:$F$137,0)),"0%")&amp;"   ·   "&amp;IF(INDEX('3. Workings'!$D$143:$F$143,MATCH($BH$4,'3. Workings'!$D$137:$F$137,0))&gt;0,TEXT(INDEX('3. Workings'!$D$143:$F$143,MATCH($BH$4,'3. Workings'!$D$137:$F$137,0)),"0%")&amp;" cushion","NO cushion at this plan")</f>
        <v>Breaks at 31%   ·   69% cushion</v>
      </c>
      <c r="BX113" s="181"/>
      <c r="BY113" s="181"/>
      <c r="BZ113" s="181"/>
      <c r="CA113" s="181"/>
      <c r="CB113" s="181"/>
      <c r="CC113" s="181"/>
      <c r="CD113" s="181"/>
      <c r="CE113" s="181"/>
      <c r="CF113" s="181"/>
      <c r="CG113" s="181"/>
      <c r="CH113" s="181"/>
      <c r="CI113" s="181"/>
      <c r="CJ113" s="181"/>
      <c r="CK113" s="181"/>
      <c r="CL113" s="181"/>
      <c r="CM113" s="181"/>
      <c r="CN113" s="181"/>
      <c r="CO113" s="181"/>
      <c r="CP113" s="181"/>
      <c r="CQ113" s="181"/>
      <c r="CR113" s="181"/>
      <c r="CS113" s="36"/>
    </row>
    <row r="114" spans="3:97" ht="16.05" customHeight="1" x14ac:dyDescent="0.3">
      <c r="C114" s="48"/>
      <c r="D114" s="177" t="s">
        <v>299</v>
      </c>
      <c r="E114" s="177"/>
      <c r="F114" s="177"/>
      <c r="G114" s="177"/>
      <c r="H114" s="177"/>
      <c r="I114" s="177"/>
      <c r="J114" s="177"/>
      <c r="K114" s="177"/>
      <c r="L114" s="177"/>
      <c r="M114" s="177"/>
      <c r="N114" s="177"/>
      <c r="O114" s="177"/>
      <c r="P114" s="177"/>
      <c r="Q114" s="178"/>
      <c r="R114" s="178"/>
      <c r="S114" s="178"/>
      <c r="T114" s="178"/>
      <c r="U114" s="178"/>
      <c r="V114" s="178"/>
      <c r="X114" s="179" t="s">
        <v>300</v>
      </c>
      <c r="Y114" s="179"/>
      <c r="Z114" s="179"/>
      <c r="AA114" s="179"/>
      <c r="AB114" s="179"/>
      <c r="AC114" s="179"/>
      <c r="AD114" s="179"/>
      <c r="AE114" s="179"/>
      <c r="AF114" s="179"/>
      <c r="AG114" s="179"/>
      <c r="AH114" s="179"/>
      <c r="AI114" s="179"/>
      <c r="AJ114" s="35"/>
      <c r="AL114" s="177" t="s">
        <v>301</v>
      </c>
      <c r="AM114" s="177"/>
      <c r="AN114" s="177"/>
      <c r="AO114" s="177"/>
      <c r="AP114" s="177"/>
      <c r="AQ114" s="177"/>
      <c r="AR114" s="177"/>
      <c r="AS114" s="177"/>
      <c r="AT114" s="177"/>
      <c r="AU114" s="177"/>
      <c r="AV114" s="177"/>
      <c r="AW114" s="177"/>
      <c r="AX114" s="177"/>
      <c r="AY114" s="180" t="str">
        <f>TEXT(INDEX('3. Workings'!$D$82:$F$82,MATCH($BH$4,'3. Workings'!$D$77:$F$77,0)),"0.00")&amp;" pp"</f>
        <v>4.49 pp</v>
      </c>
      <c r="AZ114" s="180"/>
      <c r="BA114" s="180"/>
      <c r="BB114" s="180"/>
      <c r="BC114" s="180"/>
      <c r="BD114" s="180"/>
      <c r="BE114" s="180"/>
      <c r="BF114" s="180"/>
      <c r="BG114" s="180"/>
      <c r="BH114" s="180"/>
      <c r="BI114" s="35"/>
      <c r="BK114" s="177"/>
      <c r="BL114" s="177"/>
      <c r="BM114" s="177"/>
      <c r="BN114" s="177"/>
      <c r="BO114" s="177"/>
      <c r="BP114" s="177"/>
      <c r="BQ114" s="177"/>
      <c r="BR114" s="177"/>
      <c r="BS114" s="177"/>
      <c r="BT114" s="177"/>
      <c r="BU114" s="177"/>
      <c r="BW114" s="181"/>
      <c r="BX114" s="181"/>
      <c r="BY114" s="181"/>
      <c r="BZ114" s="181"/>
      <c r="CA114" s="181"/>
      <c r="CB114" s="181"/>
      <c r="CC114" s="181"/>
      <c r="CD114" s="181"/>
      <c r="CE114" s="181"/>
      <c r="CF114" s="181"/>
      <c r="CG114" s="181"/>
      <c r="CH114" s="181"/>
      <c r="CI114" s="181"/>
      <c r="CJ114" s="181"/>
      <c r="CK114" s="181"/>
      <c r="CL114" s="181"/>
      <c r="CM114" s="181"/>
      <c r="CN114" s="181"/>
      <c r="CO114" s="181"/>
      <c r="CP114" s="181"/>
      <c r="CQ114" s="181"/>
      <c r="CR114" s="181"/>
      <c r="CS114" s="36"/>
    </row>
    <row r="115" spans="3:97" ht="16.05" customHeight="1" x14ac:dyDescent="0.3">
      <c r="C115" s="48"/>
      <c r="D115" s="177"/>
      <c r="E115" s="177"/>
      <c r="F115" s="177"/>
      <c r="G115" s="177"/>
      <c r="H115" s="177"/>
      <c r="I115" s="177"/>
      <c r="J115" s="177"/>
      <c r="K115" s="177"/>
      <c r="L115" s="177"/>
      <c r="M115" s="177"/>
      <c r="N115" s="177"/>
      <c r="O115" s="177"/>
      <c r="P115" s="177"/>
      <c r="Q115" s="178"/>
      <c r="R115" s="178"/>
      <c r="S115" s="178"/>
      <c r="T115" s="178"/>
      <c r="U115" s="178"/>
      <c r="V115" s="178"/>
      <c r="X115" s="179"/>
      <c r="Y115" s="179"/>
      <c r="Z115" s="179"/>
      <c r="AA115" s="179"/>
      <c r="AB115" s="179"/>
      <c r="AC115" s="179"/>
      <c r="AD115" s="179"/>
      <c r="AE115" s="179"/>
      <c r="AF115" s="179"/>
      <c r="AG115" s="179"/>
      <c r="AH115" s="179"/>
      <c r="AI115" s="179"/>
      <c r="AJ115" s="35"/>
      <c r="AL115" s="177"/>
      <c r="AM115" s="177"/>
      <c r="AN115" s="177"/>
      <c r="AO115" s="177"/>
      <c r="AP115" s="177"/>
      <c r="AQ115" s="177"/>
      <c r="AR115" s="177"/>
      <c r="AS115" s="177"/>
      <c r="AT115" s="177"/>
      <c r="AU115" s="177"/>
      <c r="AV115" s="177"/>
      <c r="AW115" s="177"/>
      <c r="AX115" s="177"/>
      <c r="AY115" s="180"/>
      <c r="AZ115" s="180"/>
      <c r="BA115" s="180"/>
      <c r="BB115" s="180"/>
      <c r="BC115" s="180"/>
      <c r="BD115" s="180"/>
      <c r="BE115" s="180"/>
      <c r="BF115" s="180"/>
      <c r="BG115" s="180"/>
      <c r="BH115" s="180"/>
      <c r="BI115" s="35"/>
      <c r="BK115" s="177"/>
      <c r="BL115" s="177"/>
      <c r="BM115" s="177"/>
      <c r="BN115" s="177"/>
      <c r="BO115" s="177"/>
      <c r="BP115" s="177"/>
      <c r="BQ115" s="177"/>
      <c r="BR115" s="177"/>
      <c r="BS115" s="177"/>
      <c r="BT115" s="177"/>
      <c r="BU115" s="177"/>
      <c r="BW115" s="181"/>
      <c r="BX115" s="181"/>
      <c r="BY115" s="181"/>
      <c r="BZ115" s="181"/>
      <c r="CA115" s="181"/>
      <c r="CB115" s="181"/>
      <c r="CC115" s="181"/>
      <c r="CD115" s="181"/>
      <c r="CE115" s="181"/>
      <c r="CF115" s="181"/>
      <c r="CG115" s="181"/>
      <c r="CH115" s="181"/>
      <c r="CI115" s="181"/>
      <c r="CJ115" s="181"/>
      <c r="CK115" s="181"/>
      <c r="CL115" s="181"/>
      <c r="CM115" s="181"/>
      <c r="CN115" s="181"/>
      <c r="CO115" s="181"/>
      <c r="CP115" s="181"/>
      <c r="CQ115" s="181"/>
      <c r="CR115" s="181"/>
      <c r="CS115" s="36"/>
    </row>
    <row r="116" spans="3:97" ht="16.05" customHeight="1" x14ac:dyDescent="0.3">
      <c r="C116" s="4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J116" s="35"/>
      <c r="BI116" s="35"/>
      <c r="CS116" s="36"/>
    </row>
    <row r="117" spans="3:97" ht="16.05" customHeight="1" x14ac:dyDescent="0.3">
      <c r="C117" s="48"/>
      <c r="D117" s="182" t="str">
        <f>"At the "&amp;$BH$4&amp;" rollout, the case does not rest on the fraud benefit. Labour alone covers the annual run cost down to "&amp;TEXT(INDEX('3. Workings'!$D$138:$F$138,MATCH($BH$4,'3. Workings'!$D$137:$F$137,0)),"0.0")&amp;" touches per claim and ₹"&amp;TEXT(INDEX('3. Workings'!$D$140:$F$140,MATCH($BH$4,'3. Workings'!$D$137:$F$137,0)),"0")&amp;" per touch, which is "&amp;TEXT(INDEX('3. Workings'!$D$139:$F$139,MATCH($BH$4,'3. Workings'!$D$137:$F$137,0)),"0%")&amp;" and "&amp;TEXT(INDEX('3. Workings'!$D$141:$F$141,MATCH($BH$4,'3. Workings'!$D$137:$F$137,0)),"0%")&amp;" below what we assume. Payback moves from "&amp;TEXT(INDEX('3. Workings'!$D$95:$F$95,MATCH($BH$4,'3. Workings'!$D$89:$F$89,0)),"0.0")&amp;" months as modelled to "&amp;TEXT(INDEX('3. Workings'!$D$96:$F$96,MATCH($BH$4,'3. Workings'!$D$89:$F$89,0)),"0.0")&amp;" months if both our weakest assumptions break, and "&amp;'2. Summary'!$D$74&amp;"."</f>
        <v>At the Aggressive rollout, the case does not rest on the fraud benefit. Labour alone covers the annual run cost down to 1.8 touches per claim and ₹63 per touch, which is 75% and 75% below what we assume. Payback moves from 1.6 months as modelled to 4.2 months if both our weakest assumptions break, and ALL 24 CHECKS PASS.</v>
      </c>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182"/>
      <c r="AJ117" s="182"/>
      <c r="AK117" s="182"/>
      <c r="AL117" s="182"/>
      <c r="AM117" s="182"/>
      <c r="AN117" s="182"/>
      <c r="AO117" s="182"/>
      <c r="AP117" s="182"/>
      <c r="AQ117" s="182"/>
      <c r="AR117" s="182"/>
      <c r="AS117" s="182"/>
      <c r="AT117" s="182"/>
      <c r="AU117" s="182"/>
      <c r="AV117" s="182"/>
      <c r="AW117" s="182"/>
      <c r="AX117" s="182"/>
      <c r="AY117" s="182"/>
      <c r="AZ117" s="182"/>
      <c r="BA117" s="182"/>
      <c r="BB117" s="182"/>
      <c r="BC117" s="182"/>
      <c r="BD117" s="182"/>
      <c r="BE117" s="182"/>
      <c r="BF117" s="182"/>
      <c r="BG117" s="182"/>
      <c r="BH117" s="182"/>
      <c r="BI117" s="182"/>
      <c r="BJ117" s="182"/>
      <c r="BK117" s="182"/>
      <c r="BL117" s="182"/>
      <c r="BM117" s="182"/>
      <c r="BN117" s="182"/>
      <c r="BO117" s="182"/>
      <c r="BP117" s="182"/>
      <c r="BQ117" s="182"/>
      <c r="BR117" s="182"/>
      <c r="BS117" s="182"/>
      <c r="BT117" s="182"/>
      <c r="BU117" s="182"/>
      <c r="BV117" s="182"/>
      <c r="BW117" s="182"/>
      <c r="BX117" s="182"/>
      <c r="BY117" s="182"/>
      <c r="BZ117" s="182"/>
      <c r="CA117" s="182"/>
      <c r="CB117" s="182"/>
      <c r="CC117" s="182"/>
      <c r="CD117" s="182"/>
      <c r="CE117" s="182"/>
      <c r="CF117" s="182"/>
      <c r="CG117" s="182"/>
      <c r="CH117" s="182"/>
      <c r="CI117" s="182"/>
      <c r="CJ117" s="182"/>
      <c r="CK117" s="182"/>
      <c r="CL117" s="182"/>
      <c r="CM117" s="182"/>
      <c r="CN117" s="182"/>
      <c r="CO117" s="182"/>
      <c r="CP117" s="182"/>
      <c r="CQ117" s="182"/>
      <c r="CR117" s="182"/>
      <c r="CS117" s="36"/>
    </row>
    <row r="118" spans="3:97" ht="16.05" customHeight="1" x14ac:dyDescent="0.3">
      <c r="C118" s="50"/>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182"/>
      <c r="AJ118" s="182"/>
      <c r="AK118" s="182"/>
      <c r="AL118" s="182"/>
      <c r="AM118" s="182"/>
      <c r="AN118" s="182"/>
      <c r="AO118" s="182"/>
      <c r="AP118" s="182"/>
      <c r="AQ118" s="182"/>
      <c r="AR118" s="182"/>
      <c r="AS118" s="182"/>
      <c r="AT118" s="182"/>
      <c r="AU118" s="182"/>
      <c r="AV118" s="182"/>
      <c r="AW118" s="182"/>
      <c r="AX118" s="182"/>
      <c r="AY118" s="182"/>
      <c r="AZ118" s="182"/>
      <c r="BA118" s="182"/>
      <c r="BB118" s="182"/>
      <c r="BC118" s="182"/>
      <c r="BD118" s="182"/>
      <c r="BE118" s="182"/>
      <c r="BF118" s="182"/>
      <c r="BG118" s="182"/>
      <c r="BH118" s="182"/>
      <c r="BI118" s="182"/>
      <c r="BJ118" s="182"/>
      <c r="BK118" s="182"/>
      <c r="BL118" s="182"/>
      <c r="BM118" s="182"/>
      <c r="BN118" s="182"/>
      <c r="BO118" s="182"/>
      <c r="BP118" s="182"/>
      <c r="BQ118" s="182"/>
      <c r="BR118" s="182"/>
      <c r="BS118" s="182"/>
      <c r="BT118" s="182"/>
      <c r="BU118" s="182"/>
      <c r="BV118" s="182"/>
      <c r="BW118" s="182"/>
      <c r="BX118" s="182"/>
      <c r="BY118" s="182"/>
      <c r="BZ118" s="182"/>
      <c r="CA118" s="182"/>
      <c r="CB118" s="182"/>
      <c r="CC118" s="182"/>
      <c r="CD118" s="182"/>
      <c r="CE118" s="182"/>
      <c r="CF118" s="182"/>
      <c r="CG118" s="182"/>
      <c r="CH118" s="182"/>
      <c r="CI118" s="182"/>
      <c r="CJ118" s="182"/>
      <c r="CK118" s="182"/>
      <c r="CL118" s="182"/>
      <c r="CM118" s="182"/>
      <c r="CN118" s="182"/>
      <c r="CO118" s="182"/>
      <c r="CP118" s="182"/>
      <c r="CQ118" s="182"/>
      <c r="CR118" s="182"/>
      <c r="CS118" s="46"/>
    </row>
    <row r="119" spans="3:97" ht="16.05" customHeight="1" x14ac:dyDescent="0.3">
      <c r="M119" s="40"/>
      <c r="N119" s="40"/>
      <c r="O119" s="40"/>
      <c r="P119" s="40"/>
      <c r="Q119" s="40"/>
      <c r="R119" s="40"/>
      <c r="S119" s="40"/>
      <c r="T119" s="40"/>
      <c r="U119" s="40"/>
      <c r="V119" s="40"/>
      <c r="W119" s="40"/>
      <c r="X119" s="40"/>
      <c r="Y119" s="40"/>
      <c r="Z119" s="40"/>
      <c r="AA119" s="40"/>
      <c r="AB119" s="40"/>
      <c r="AC119" s="40"/>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row>
    <row r="120" spans="3:97" ht="16.05" customHeight="1" x14ac:dyDescent="0.3">
      <c r="I120" s="163" t="str">
        <f>IF(SUMPRODUCT(--('1. Assumptions and Sources'!$E$147:$E$150&lt;&gt;""))=0,"No overrides. The model is running on its published assumptions.","LIVE OVERRIDE ACTIVE  ·  "&amp;SUMPRODUCT(--('1. Assumptions and Sources'!$E$147:$E$150&lt;&gt;""))&amp;" of 4 levers overridden. Clear the yellow cells to return to published assumptions.")</f>
        <v>No overrides. The model is running on its published assumptions.</v>
      </c>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c r="BI120" s="163"/>
      <c r="BJ120" s="163"/>
      <c r="BK120" s="163"/>
      <c r="BL120" s="163"/>
      <c r="BM120" s="163"/>
      <c r="BN120" s="163"/>
      <c r="BO120" s="163"/>
      <c r="BP120" s="163"/>
      <c r="BQ120" s="163"/>
      <c r="BR120" s="163"/>
      <c r="BS120" s="163"/>
      <c r="BT120" s="163"/>
      <c r="BU120" s="163"/>
      <c r="BV120" s="163"/>
      <c r="BW120" s="163"/>
      <c r="BX120" s="163"/>
      <c r="BY120" s="163"/>
      <c r="BZ120" s="163"/>
      <c r="CA120" s="163"/>
      <c r="CB120" s="163"/>
      <c r="CC120" s="163"/>
      <c r="CD120" s="163"/>
      <c r="CE120" s="163"/>
      <c r="CF120" s="163"/>
      <c r="CG120" s="163"/>
      <c r="CH120" s="163"/>
      <c r="CI120" s="163"/>
    </row>
    <row r="121" spans="3:97" ht="16.05" customHeight="1" x14ac:dyDescent="0.3"/>
    <row r="122" spans="3:97" ht="16.05" customHeight="1" x14ac:dyDescent="0.3"/>
  </sheetData>
  <mergeCells count="114">
    <mergeCell ref="BK113:BU115"/>
    <mergeCell ref="BW113:CR115"/>
    <mergeCell ref="D114:P115"/>
    <mergeCell ref="Q114:V115"/>
    <mergeCell ref="X114:AI115"/>
    <mergeCell ref="AL114:AX115"/>
    <mergeCell ref="AY114:BH115"/>
    <mergeCell ref="D117:CR118"/>
    <mergeCell ref="I120:CI120"/>
    <mergeCell ref="D105:P106"/>
    <mergeCell ref="Q105:V106"/>
    <mergeCell ref="X105:AI106"/>
    <mergeCell ref="AL105:AX106"/>
    <mergeCell ref="AY105:BH106"/>
    <mergeCell ref="BK105:BU107"/>
    <mergeCell ref="BW105:CR107"/>
    <mergeCell ref="D108:P109"/>
    <mergeCell ref="Q108:V109"/>
    <mergeCell ref="X108:AI109"/>
    <mergeCell ref="AL108:AX109"/>
    <mergeCell ref="AY108:BH109"/>
    <mergeCell ref="BK109:BU111"/>
    <mergeCell ref="BW109:CR111"/>
    <mergeCell ref="D111:P112"/>
    <mergeCell ref="Q111:V112"/>
    <mergeCell ref="X111:AI112"/>
    <mergeCell ref="AL111:AX112"/>
    <mergeCell ref="AY111:BH112"/>
    <mergeCell ref="D92:I93"/>
    <mergeCell ref="J92:N93"/>
    <mergeCell ref="D95:I96"/>
    <mergeCell ref="J95:N96"/>
    <mergeCell ref="BE97:CR98"/>
    <mergeCell ref="D98:AZ99"/>
    <mergeCell ref="BA98:BA99"/>
    <mergeCell ref="CL101:CS102"/>
    <mergeCell ref="D103:AI103"/>
    <mergeCell ref="AL103:BH103"/>
    <mergeCell ref="BK103:CP103"/>
    <mergeCell ref="D81:N81"/>
    <mergeCell ref="R81:BA81"/>
    <mergeCell ref="BE81:CR81"/>
    <mergeCell ref="D83:I84"/>
    <mergeCell ref="J83:N84"/>
    <mergeCell ref="D86:I87"/>
    <mergeCell ref="J86:N87"/>
    <mergeCell ref="D89:I90"/>
    <mergeCell ref="J89:N90"/>
    <mergeCell ref="AU61:BB62"/>
    <mergeCell ref="CL61:CS62"/>
    <mergeCell ref="D63:R63"/>
    <mergeCell ref="U63:AI63"/>
    <mergeCell ref="AL63:AZ63"/>
    <mergeCell ref="BE63:CR63"/>
    <mergeCell ref="D64:R72"/>
    <mergeCell ref="D75:AZ76"/>
    <mergeCell ref="AU79:BB80"/>
    <mergeCell ref="F51:P52"/>
    <mergeCell ref="Q51:AA52"/>
    <mergeCell ref="AB51:AL52"/>
    <mergeCell ref="F53:P54"/>
    <mergeCell ref="Q53:AA54"/>
    <mergeCell ref="AB53:AL54"/>
    <mergeCell ref="F55:P56"/>
    <mergeCell ref="Q55:AA56"/>
    <mergeCell ref="AB55:AL56"/>
    <mergeCell ref="F45:P46"/>
    <mergeCell ref="Q45:AA46"/>
    <mergeCell ref="AB45:AL46"/>
    <mergeCell ref="F47:P48"/>
    <mergeCell ref="Q47:AA48"/>
    <mergeCell ref="AB47:AL48"/>
    <mergeCell ref="F49:P50"/>
    <mergeCell ref="Q49:AA50"/>
    <mergeCell ref="AB49:AL50"/>
    <mergeCell ref="F39:P40"/>
    <mergeCell ref="Q39:AA40"/>
    <mergeCell ref="AB39:AL40"/>
    <mergeCell ref="F41:P42"/>
    <mergeCell ref="Q41:AA42"/>
    <mergeCell ref="AB41:AL42"/>
    <mergeCell ref="F43:P44"/>
    <mergeCell ref="Q43:AA44"/>
    <mergeCell ref="AB43:AL44"/>
    <mergeCell ref="D18:AB18"/>
    <mergeCell ref="AG18:BD18"/>
    <mergeCell ref="BI18:CQ18"/>
    <mergeCell ref="AH20:BD21"/>
    <mergeCell ref="E34:AB35"/>
    <mergeCell ref="BJ34:CQ35"/>
    <mergeCell ref="F37:AL37"/>
    <mergeCell ref="AQ37:BG37"/>
    <mergeCell ref="BL37:CQ37"/>
    <mergeCell ref="CG10:CQ11"/>
    <mergeCell ref="D12:N12"/>
    <mergeCell ref="S12:Z12"/>
    <mergeCell ref="AB12:AI12"/>
    <mergeCell ref="AN12:AX12"/>
    <mergeCell ref="BC12:BM12"/>
    <mergeCell ref="BR12:CB12"/>
    <mergeCell ref="CG12:CQ12"/>
    <mergeCell ref="CL16:CS17"/>
    <mergeCell ref="D2:Q4"/>
    <mergeCell ref="S2:BF4"/>
    <mergeCell ref="BH3:BU3"/>
    <mergeCell ref="BH4:BU5"/>
    <mergeCell ref="D5:P5"/>
    <mergeCell ref="S5:BD5"/>
    <mergeCell ref="D10:N11"/>
    <mergeCell ref="S10:Z11"/>
    <mergeCell ref="AB10:AI11"/>
    <mergeCell ref="AN10:AX11"/>
    <mergeCell ref="BC10:BM11"/>
    <mergeCell ref="BR10:CB11"/>
  </mergeCell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699737-E689-4B96-A22F-11E761A2BEA4}">
          <x14:formula1>
            <xm:f>'2. Summary'!$D$28:$F$28</xm:f>
          </x14:formula1>
          <xm:sqref>BH4:BU5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808080"/>
    <pageSetUpPr fitToPage="1"/>
  </sheetPr>
  <dimension ref="B2:I209"/>
  <sheetViews>
    <sheetView showGridLines="0" zoomScale="90" zoomScaleNormal="90" workbookViewId="0"/>
  </sheetViews>
  <sheetFormatPr defaultColWidth="8.6640625" defaultRowHeight="13.8" x14ac:dyDescent="0.25"/>
  <cols>
    <col min="1" max="1" width="8.6640625" style="1"/>
    <col min="2" max="2" width="9" style="1" customWidth="1"/>
    <col min="3" max="3" width="46" style="1" customWidth="1"/>
    <col min="4" max="4" width="15" style="1" customWidth="1"/>
    <col min="5" max="5" width="13" style="1" customWidth="1"/>
    <col min="6" max="6" width="15" style="1" customWidth="1"/>
    <col min="7" max="7" width="64" style="1" customWidth="1"/>
    <col min="8" max="8" width="20" style="1" customWidth="1"/>
    <col min="9" max="9" width="30" style="1" customWidth="1"/>
    <col min="10" max="16384" width="8.6640625" style="1"/>
  </cols>
  <sheetData>
    <row r="2" spans="2:9" ht="16.05" customHeight="1" x14ac:dyDescent="0.25">
      <c r="B2" s="183" t="s">
        <v>390</v>
      </c>
      <c r="C2" s="183"/>
      <c r="D2" s="183"/>
      <c r="E2" s="183"/>
      <c r="F2" s="183"/>
      <c r="G2" s="183"/>
      <c r="H2" s="183"/>
      <c r="I2" s="183"/>
    </row>
    <row r="3" spans="2:9" ht="16.05" customHeight="1" x14ac:dyDescent="0.25">
      <c r="B3" s="184" t="s">
        <v>391</v>
      </c>
      <c r="C3" s="184"/>
      <c r="D3" s="184"/>
      <c r="E3" s="184"/>
      <c r="F3" s="184"/>
      <c r="G3" s="184"/>
      <c r="H3" s="184"/>
      <c r="I3" s="184"/>
    </row>
    <row r="4" spans="2:9" ht="16.05" customHeight="1" x14ac:dyDescent="0.25"/>
    <row r="5" spans="2:9" ht="16.05" customHeight="1" x14ac:dyDescent="0.25">
      <c r="B5" s="185" t="s">
        <v>392</v>
      </c>
      <c r="C5" s="185"/>
      <c r="D5" s="185"/>
      <c r="E5" s="185"/>
      <c r="F5" s="185"/>
      <c r="G5" s="185"/>
      <c r="H5" s="185"/>
      <c r="I5" s="185"/>
    </row>
    <row r="6" spans="2:9" ht="16.05" customHeight="1" x14ac:dyDescent="0.25">
      <c r="B6" s="60" t="s">
        <v>4</v>
      </c>
      <c r="C6" s="60" t="s">
        <v>5</v>
      </c>
      <c r="D6" s="60" t="s">
        <v>6</v>
      </c>
      <c r="E6" s="60" t="s">
        <v>393</v>
      </c>
      <c r="F6" s="60" t="s">
        <v>394</v>
      </c>
      <c r="G6" s="60" t="s">
        <v>395</v>
      </c>
    </row>
    <row r="7" spans="2:9" ht="16.05" customHeight="1" x14ac:dyDescent="0.25">
      <c r="B7" s="62" t="s">
        <v>396</v>
      </c>
      <c r="C7" s="62" t="s">
        <v>397</v>
      </c>
      <c r="D7" s="63">
        <v>3317.3</v>
      </c>
      <c r="E7" s="64" t="s">
        <v>398</v>
      </c>
      <c r="F7" s="64" t="s">
        <v>399</v>
      </c>
      <c r="G7" s="64" t="s">
        <v>400</v>
      </c>
    </row>
    <row r="8" spans="2:9" ht="16.05" customHeight="1" x14ac:dyDescent="0.25">
      <c r="B8" s="62" t="s">
        <v>401</v>
      </c>
      <c r="C8" s="62" t="s">
        <v>402</v>
      </c>
      <c r="D8" s="65">
        <v>0.49880000000000002</v>
      </c>
      <c r="E8" s="64" t="s">
        <v>403</v>
      </c>
      <c r="F8" s="64" t="s">
        <v>399</v>
      </c>
      <c r="G8" s="64" t="s">
        <v>404</v>
      </c>
    </row>
    <row r="9" spans="2:9" ht="16.05" customHeight="1" x14ac:dyDescent="0.25">
      <c r="B9" s="62" t="s">
        <v>405</v>
      </c>
      <c r="C9" s="62" t="s">
        <v>406</v>
      </c>
      <c r="D9" s="66">
        <v>0.746</v>
      </c>
      <c r="E9" s="64" t="s">
        <v>403</v>
      </c>
      <c r="F9" s="64" t="s">
        <v>399</v>
      </c>
      <c r="G9" s="64" t="s">
        <v>407</v>
      </c>
    </row>
    <row r="10" spans="2:9" ht="16.05" customHeight="1" x14ac:dyDescent="0.25">
      <c r="B10" s="62" t="s">
        <v>408</v>
      </c>
      <c r="C10" s="62" t="s">
        <v>409</v>
      </c>
      <c r="D10" s="66">
        <v>1.0229999999999999</v>
      </c>
      <c r="E10" s="64" t="s">
        <v>403</v>
      </c>
      <c r="F10" s="64" t="s">
        <v>399</v>
      </c>
      <c r="G10" s="64" t="s">
        <v>410</v>
      </c>
    </row>
    <row r="11" spans="2:9" ht="16.05" customHeight="1" x14ac:dyDescent="0.25">
      <c r="B11" s="62" t="s">
        <v>411</v>
      </c>
      <c r="C11" s="62" t="s">
        <v>412</v>
      </c>
      <c r="D11" s="63">
        <v>20461</v>
      </c>
      <c r="E11" s="64" t="s">
        <v>398</v>
      </c>
      <c r="F11" s="64" t="s">
        <v>399</v>
      </c>
      <c r="G11" s="64" t="s">
        <v>413</v>
      </c>
    </row>
    <row r="12" spans="2:9" ht="16.05" customHeight="1" x14ac:dyDescent="0.25">
      <c r="B12" s="62" t="s">
        <v>414</v>
      </c>
      <c r="C12" s="62" t="s">
        <v>415</v>
      </c>
      <c r="D12" s="66">
        <v>8.6999999999999994E-2</v>
      </c>
      <c r="E12" s="64" t="s">
        <v>403</v>
      </c>
      <c r="F12" s="64" t="s">
        <v>416</v>
      </c>
      <c r="G12" s="64" t="s">
        <v>417</v>
      </c>
    </row>
    <row r="13" spans="2:9" ht="16.05" customHeight="1" x14ac:dyDescent="0.25">
      <c r="B13" s="62" t="s">
        <v>418</v>
      </c>
      <c r="C13" s="62" t="s">
        <v>419</v>
      </c>
      <c r="D13" s="66">
        <v>6.9000000000000006E-2</v>
      </c>
      <c r="E13" s="64" t="s">
        <v>403</v>
      </c>
      <c r="F13" s="64" t="s">
        <v>420</v>
      </c>
      <c r="G13" s="64" t="s">
        <v>421</v>
      </c>
    </row>
    <row r="14" spans="2:9" ht="16.05" customHeight="1" x14ac:dyDescent="0.25">
      <c r="B14" s="62" t="s">
        <v>422</v>
      </c>
      <c r="C14" s="62" t="s">
        <v>423</v>
      </c>
      <c r="D14" s="63">
        <v>95.3</v>
      </c>
      <c r="E14" s="64" t="s">
        <v>424</v>
      </c>
      <c r="F14" s="64" t="s">
        <v>425</v>
      </c>
      <c r="G14" s="64" t="s">
        <v>426</v>
      </c>
    </row>
    <row r="15" spans="2:9" ht="16.05" customHeight="1" x14ac:dyDescent="0.25">
      <c r="B15" s="62" t="s">
        <v>427</v>
      </c>
      <c r="C15" s="62" t="s">
        <v>428</v>
      </c>
      <c r="D15" s="66">
        <v>0.12</v>
      </c>
      <c r="E15" s="64" t="s">
        <v>403</v>
      </c>
      <c r="F15" s="64" t="s">
        <v>429</v>
      </c>
      <c r="G15" s="64" t="s">
        <v>430</v>
      </c>
    </row>
    <row r="16" spans="2:9" ht="16.05" customHeight="1" x14ac:dyDescent="0.25">
      <c r="B16" s="62" t="s">
        <v>431</v>
      </c>
      <c r="C16" s="62" t="s">
        <v>432</v>
      </c>
      <c r="D16" s="66">
        <v>1.3140000000000001</v>
      </c>
      <c r="E16" s="64" t="s">
        <v>433</v>
      </c>
      <c r="F16" s="64" t="s">
        <v>416</v>
      </c>
      <c r="G16" s="64" t="s">
        <v>434</v>
      </c>
    </row>
    <row r="17" spans="2:9" ht="16.05" customHeight="1" x14ac:dyDescent="0.25">
      <c r="B17" s="62" t="s">
        <v>435</v>
      </c>
      <c r="C17" s="62" t="s">
        <v>436</v>
      </c>
      <c r="D17" s="67">
        <v>50000</v>
      </c>
      <c r="E17" s="64" t="s">
        <v>437</v>
      </c>
      <c r="F17" s="64" t="s">
        <v>420</v>
      </c>
      <c r="G17" s="64" t="s">
        <v>438</v>
      </c>
    </row>
    <row r="18" spans="2:9" ht="16.05" customHeight="1" x14ac:dyDescent="0.25">
      <c r="B18" s="62" t="s">
        <v>439</v>
      </c>
      <c r="C18" s="62" t="s">
        <v>440</v>
      </c>
      <c r="D18" s="66">
        <v>-0.3</v>
      </c>
      <c r="E18" s="64" t="s">
        <v>403</v>
      </c>
      <c r="F18" s="64" t="s">
        <v>416</v>
      </c>
      <c r="G18" s="64" t="s">
        <v>441</v>
      </c>
    </row>
    <row r="19" spans="2:9" ht="16.05" customHeight="1" x14ac:dyDescent="0.25">
      <c r="B19" s="62" t="s">
        <v>442</v>
      </c>
      <c r="C19" s="62" t="s">
        <v>443</v>
      </c>
      <c r="D19" s="66">
        <v>-0.1</v>
      </c>
      <c r="E19" s="64" t="s">
        <v>403</v>
      </c>
      <c r="F19" s="64" t="s">
        <v>416</v>
      </c>
      <c r="G19" s="64" t="s">
        <v>444</v>
      </c>
    </row>
    <row r="20" spans="2:9" ht="16.05" customHeight="1" x14ac:dyDescent="0.25"/>
    <row r="21" spans="2:9" ht="16.05" customHeight="1" x14ac:dyDescent="0.25">
      <c r="B21" s="185" t="s">
        <v>445</v>
      </c>
      <c r="C21" s="185"/>
      <c r="D21" s="185"/>
      <c r="E21" s="185"/>
      <c r="F21" s="185"/>
      <c r="G21" s="185"/>
      <c r="H21" s="185"/>
      <c r="I21" s="185"/>
    </row>
    <row r="22" spans="2:9" ht="16.05" customHeight="1" x14ac:dyDescent="0.25">
      <c r="B22" s="60" t="s">
        <v>4</v>
      </c>
      <c r="C22" s="60" t="s">
        <v>446</v>
      </c>
      <c r="D22" s="60" t="s">
        <v>6</v>
      </c>
      <c r="E22" s="60" t="s">
        <v>393</v>
      </c>
      <c r="F22" s="60" t="s">
        <v>394</v>
      </c>
      <c r="G22" s="60" t="s">
        <v>7</v>
      </c>
    </row>
    <row r="23" spans="2:9" ht="16.05" customHeight="1" x14ac:dyDescent="0.25">
      <c r="B23" s="62" t="s">
        <v>447</v>
      </c>
      <c r="C23" s="62" t="s">
        <v>448</v>
      </c>
      <c r="D23" s="67">
        <f>F150</f>
        <v>45000</v>
      </c>
      <c r="E23" s="64" t="s">
        <v>437</v>
      </c>
      <c r="F23" s="64" t="s">
        <v>449</v>
      </c>
      <c r="G23" s="64" t="s">
        <v>450</v>
      </c>
    </row>
    <row r="24" spans="2:9" ht="16.05" customHeight="1" x14ac:dyDescent="0.25">
      <c r="B24" s="62" t="s">
        <v>451</v>
      </c>
      <c r="C24" s="62" t="s">
        <v>291</v>
      </c>
      <c r="D24" s="67">
        <f>F147</f>
        <v>7</v>
      </c>
      <c r="E24" s="64" t="s">
        <v>452</v>
      </c>
      <c r="F24" s="64" t="s">
        <v>449</v>
      </c>
      <c r="G24" s="64" t="s">
        <v>453</v>
      </c>
    </row>
    <row r="25" spans="2:9" ht="16.05" customHeight="1" x14ac:dyDescent="0.25">
      <c r="B25" s="62" t="s">
        <v>454</v>
      </c>
      <c r="C25" s="62" t="s">
        <v>455</v>
      </c>
      <c r="D25" s="66">
        <v>0.65</v>
      </c>
      <c r="E25" s="64" t="s">
        <v>403</v>
      </c>
      <c r="F25" s="64" t="s">
        <v>416</v>
      </c>
      <c r="G25" s="64" t="s">
        <v>456</v>
      </c>
    </row>
    <row r="26" spans="2:9" ht="16.05" customHeight="1" x14ac:dyDescent="0.25">
      <c r="B26" s="62" t="s">
        <v>457</v>
      </c>
      <c r="C26" s="62" t="s">
        <v>458</v>
      </c>
      <c r="D26" s="66">
        <v>0.25</v>
      </c>
      <c r="E26" s="64" t="s">
        <v>403</v>
      </c>
      <c r="F26" s="64" t="s">
        <v>449</v>
      </c>
      <c r="G26" s="64" t="s">
        <v>459</v>
      </c>
    </row>
    <row r="27" spans="2:9" ht="16.05" customHeight="1" x14ac:dyDescent="0.25">
      <c r="B27" s="62" t="s">
        <v>460</v>
      </c>
      <c r="C27" s="62" t="s">
        <v>461</v>
      </c>
      <c r="D27" s="66">
        <v>0.1</v>
      </c>
      <c r="E27" s="64" t="s">
        <v>403</v>
      </c>
      <c r="F27" s="64" t="s">
        <v>449</v>
      </c>
      <c r="G27" s="64" t="s">
        <v>462</v>
      </c>
    </row>
    <row r="28" spans="2:9" ht="16.05" customHeight="1" x14ac:dyDescent="0.25">
      <c r="B28" s="62" t="s">
        <v>463</v>
      </c>
      <c r="C28" s="62" t="s">
        <v>464</v>
      </c>
      <c r="D28" s="66">
        <v>0.2</v>
      </c>
      <c r="E28" s="64" t="s">
        <v>452</v>
      </c>
      <c r="F28" s="64" t="s">
        <v>449</v>
      </c>
      <c r="G28" s="64" t="s">
        <v>465</v>
      </c>
    </row>
    <row r="29" spans="2:9" ht="16.05" customHeight="1" x14ac:dyDescent="0.25">
      <c r="B29" s="62" t="s">
        <v>466</v>
      </c>
      <c r="C29" s="62" t="s">
        <v>467</v>
      </c>
      <c r="D29" s="67">
        <v>2</v>
      </c>
      <c r="E29" s="64" t="s">
        <v>452</v>
      </c>
      <c r="F29" s="64" t="s">
        <v>449</v>
      </c>
      <c r="G29" s="64" t="s">
        <v>468</v>
      </c>
    </row>
    <row r="30" spans="2:9" ht="16.05" customHeight="1" x14ac:dyDescent="0.25">
      <c r="B30" s="62" t="s">
        <v>469</v>
      </c>
      <c r="C30" s="62" t="s">
        <v>470</v>
      </c>
      <c r="D30" s="67">
        <v>6</v>
      </c>
      <c r="E30" s="64" t="s">
        <v>452</v>
      </c>
      <c r="F30" s="64" t="s">
        <v>449</v>
      </c>
      <c r="G30" s="64" t="s">
        <v>471</v>
      </c>
    </row>
    <row r="31" spans="2:9" ht="16.05" customHeight="1" x14ac:dyDescent="0.25">
      <c r="B31" s="62" t="s">
        <v>472</v>
      </c>
      <c r="C31" s="62" t="s">
        <v>473</v>
      </c>
      <c r="D31" s="66">
        <v>9.8000000000000007</v>
      </c>
      <c r="E31" s="64" t="s">
        <v>474</v>
      </c>
      <c r="F31" s="64" t="s">
        <v>416</v>
      </c>
      <c r="G31" s="64" t="s">
        <v>475</v>
      </c>
    </row>
    <row r="32" spans="2:9" ht="16.05" customHeight="1" x14ac:dyDescent="0.25">
      <c r="B32" s="62" t="s">
        <v>476</v>
      </c>
      <c r="C32" s="62" t="s">
        <v>477</v>
      </c>
      <c r="D32" s="66">
        <v>1.5</v>
      </c>
      <c r="E32" s="64" t="s">
        <v>474</v>
      </c>
      <c r="F32" s="64" t="s">
        <v>449</v>
      </c>
      <c r="G32" s="64" t="s">
        <v>478</v>
      </c>
    </row>
    <row r="33" spans="2:7" ht="16.05" customHeight="1" x14ac:dyDescent="0.25">
      <c r="B33" s="62" t="s">
        <v>479</v>
      </c>
      <c r="C33" s="62" t="s">
        <v>480</v>
      </c>
      <c r="D33" s="66">
        <v>3.5</v>
      </c>
      <c r="E33" s="64" t="s">
        <v>474</v>
      </c>
      <c r="F33" s="64" t="s">
        <v>449</v>
      </c>
      <c r="G33" s="64" t="s">
        <v>481</v>
      </c>
    </row>
    <row r="34" spans="2:7" ht="16.05" customHeight="1" x14ac:dyDescent="0.25">
      <c r="B34" s="62" t="s">
        <v>482</v>
      </c>
      <c r="C34" s="62" t="s">
        <v>483</v>
      </c>
      <c r="D34" s="66">
        <v>7</v>
      </c>
      <c r="E34" s="64" t="s">
        <v>474</v>
      </c>
      <c r="F34" s="64" t="s">
        <v>449</v>
      </c>
      <c r="G34" s="64" t="s">
        <v>484</v>
      </c>
    </row>
    <row r="35" spans="2:7" ht="16.05" customHeight="1" x14ac:dyDescent="0.25">
      <c r="B35" s="62" t="s">
        <v>485</v>
      </c>
      <c r="C35" s="62" t="s">
        <v>486</v>
      </c>
      <c r="D35" s="66">
        <v>0.62</v>
      </c>
      <c r="E35" s="64" t="s">
        <v>403</v>
      </c>
      <c r="F35" s="64" t="s">
        <v>449</v>
      </c>
      <c r="G35" s="64" t="s">
        <v>487</v>
      </c>
    </row>
    <row r="36" spans="2:7" ht="16.05" customHeight="1" x14ac:dyDescent="0.25">
      <c r="B36" s="62" t="s">
        <v>488</v>
      </c>
      <c r="C36" s="62" t="s">
        <v>489</v>
      </c>
      <c r="D36" s="66">
        <f>F149</f>
        <v>0.9</v>
      </c>
      <c r="E36" s="64" t="s">
        <v>403</v>
      </c>
      <c r="F36" s="64" t="s">
        <v>490</v>
      </c>
      <c r="G36" s="64" t="s">
        <v>491</v>
      </c>
    </row>
    <row r="37" spans="2:7" ht="16.05" customHeight="1" x14ac:dyDescent="0.25">
      <c r="B37" s="62" t="s">
        <v>492</v>
      </c>
      <c r="C37" s="62" t="s">
        <v>493</v>
      </c>
      <c r="D37" s="66">
        <v>0.1</v>
      </c>
      <c r="E37" s="64" t="s">
        <v>494</v>
      </c>
      <c r="F37" s="64" t="s">
        <v>449</v>
      </c>
      <c r="G37" s="64" t="s">
        <v>495</v>
      </c>
    </row>
    <row r="38" spans="2:7" ht="16.05" customHeight="1" x14ac:dyDescent="0.25">
      <c r="B38" s="62" t="s">
        <v>496</v>
      </c>
      <c r="C38" s="62" t="s">
        <v>497</v>
      </c>
      <c r="D38" s="66">
        <v>0.18</v>
      </c>
      <c r="E38" s="64" t="s">
        <v>494</v>
      </c>
      <c r="F38" s="64" t="s">
        <v>449</v>
      </c>
      <c r="G38" s="64" t="s">
        <v>498</v>
      </c>
    </row>
    <row r="39" spans="2:7" ht="16.05" customHeight="1" x14ac:dyDescent="0.25">
      <c r="B39" s="62" t="s">
        <v>499</v>
      </c>
      <c r="C39" s="62" t="s">
        <v>500</v>
      </c>
      <c r="D39" s="68">
        <v>3.15E-2</v>
      </c>
      <c r="E39" s="64" t="s">
        <v>403</v>
      </c>
      <c r="F39" s="64" t="s">
        <v>501</v>
      </c>
      <c r="G39" s="64" t="s">
        <v>502</v>
      </c>
    </row>
    <row r="40" spans="2:7" ht="16.05" customHeight="1" x14ac:dyDescent="0.25">
      <c r="B40" s="62" t="s">
        <v>503</v>
      </c>
      <c r="C40" s="62" t="s">
        <v>504</v>
      </c>
      <c r="D40" s="66">
        <v>0.01</v>
      </c>
      <c r="E40" s="64" t="s">
        <v>403</v>
      </c>
      <c r="F40" s="64" t="s">
        <v>449</v>
      </c>
      <c r="G40" s="64" t="s">
        <v>505</v>
      </c>
    </row>
    <row r="41" spans="2:7" ht="16.05" customHeight="1" x14ac:dyDescent="0.25">
      <c r="B41" s="62" t="s">
        <v>506</v>
      </c>
      <c r="C41" s="62" t="s">
        <v>507</v>
      </c>
      <c r="D41" s="66">
        <v>0.85</v>
      </c>
      <c r="E41" s="64" t="s">
        <v>403</v>
      </c>
      <c r="F41" s="64" t="s">
        <v>449</v>
      </c>
      <c r="G41" s="64" t="s">
        <v>508</v>
      </c>
    </row>
    <row r="42" spans="2:7" ht="16.05" customHeight="1" x14ac:dyDescent="0.25">
      <c r="B42" s="62" t="s">
        <v>509</v>
      </c>
      <c r="C42" s="62" t="s">
        <v>510</v>
      </c>
      <c r="D42" s="66">
        <v>0.08</v>
      </c>
      <c r="E42" s="64" t="s">
        <v>403</v>
      </c>
      <c r="F42" s="64" t="s">
        <v>449</v>
      </c>
      <c r="G42" s="64" t="s">
        <v>511</v>
      </c>
    </row>
    <row r="43" spans="2:7" ht="16.05" customHeight="1" x14ac:dyDescent="0.25">
      <c r="B43" s="62" t="s">
        <v>512</v>
      </c>
      <c r="C43" s="62" t="s">
        <v>513</v>
      </c>
      <c r="D43" s="67">
        <v>7000</v>
      </c>
      <c r="E43" s="64" t="s">
        <v>437</v>
      </c>
      <c r="F43" s="64" t="s">
        <v>449</v>
      </c>
      <c r="G43" s="64" t="s">
        <v>514</v>
      </c>
    </row>
    <row r="44" spans="2:7" ht="16.05" customHeight="1" x14ac:dyDescent="0.25">
      <c r="B44" s="62" t="s">
        <v>515</v>
      </c>
      <c r="C44" s="62" t="s">
        <v>516</v>
      </c>
      <c r="D44" s="66">
        <v>0.05</v>
      </c>
      <c r="E44" s="64" t="s">
        <v>494</v>
      </c>
      <c r="F44" s="64" t="s">
        <v>449</v>
      </c>
      <c r="G44" s="64" t="s">
        <v>517</v>
      </c>
    </row>
    <row r="45" spans="2:7" ht="16.05" customHeight="1" x14ac:dyDescent="0.25">
      <c r="B45" s="62" t="s">
        <v>518</v>
      </c>
      <c r="C45" s="62" t="s">
        <v>519</v>
      </c>
      <c r="D45" s="66">
        <v>0.1</v>
      </c>
      <c r="E45" s="64" t="s">
        <v>403</v>
      </c>
      <c r="F45" s="64" t="s">
        <v>449</v>
      </c>
      <c r="G45" s="64" t="s">
        <v>520</v>
      </c>
    </row>
    <row r="46" spans="2:7" ht="16.05" customHeight="1" x14ac:dyDescent="0.25">
      <c r="B46" s="62" t="s">
        <v>521</v>
      </c>
      <c r="C46" s="62" t="s">
        <v>522</v>
      </c>
      <c r="D46" s="66">
        <v>0.45</v>
      </c>
      <c r="E46" s="64" t="s">
        <v>403</v>
      </c>
      <c r="F46" s="64" t="s">
        <v>523</v>
      </c>
      <c r="G46" s="64" t="s">
        <v>524</v>
      </c>
    </row>
    <row r="47" spans="2:7" ht="16.05" customHeight="1" x14ac:dyDescent="0.25">
      <c r="B47" s="62" t="s">
        <v>525</v>
      </c>
      <c r="C47" s="62" t="s">
        <v>526</v>
      </c>
      <c r="D47" s="66">
        <v>0.92</v>
      </c>
      <c r="E47" s="64" t="s">
        <v>403</v>
      </c>
      <c r="F47" s="64" t="s">
        <v>523</v>
      </c>
      <c r="G47" s="64" t="s">
        <v>527</v>
      </c>
    </row>
    <row r="48" spans="2:7" ht="16.05" customHeight="1" x14ac:dyDescent="0.25">
      <c r="B48" s="62" t="s">
        <v>528</v>
      </c>
      <c r="C48" s="62" t="s">
        <v>529</v>
      </c>
      <c r="D48" s="66">
        <v>1</v>
      </c>
      <c r="E48" s="64" t="s">
        <v>403</v>
      </c>
      <c r="F48" s="64" t="s">
        <v>523</v>
      </c>
      <c r="G48" s="64" t="s">
        <v>530</v>
      </c>
    </row>
    <row r="49" spans="2:9" ht="16.05" customHeight="1" x14ac:dyDescent="0.25">
      <c r="B49" s="62" t="s">
        <v>531</v>
      </c>
      <c r="C49" s="62" t="s">
        <v>532</v>
      </c>
      <c r="D49" s="67">
        <v>10</v>
      </c>
      <c r="E49" s="64" t="s">
        <v>533</v>
      </c>
      <c r="F49" s="64" t="s">
        <v>523</v>
      </c>
      <c r="G49" s="64" t="s">
        <v>534</v>
      </c>
    </row>
    <row r="50" spans="2:9" ht="16.05" customHeight="1" x14ac:dyDescent="0.25">
      <c r="B50" s="62" t="s">
        <v>535</v>
      </c>
      <c r="C50" s="62" t="s">
        <v>536</v>
      </c>
      <c r="D50" s="66">
        <v>0.23749999999999999</v>
      </c>
      <c r="E50" s="64" t="s">
        <v>403</v>
      </c>
      <c r="F50" s="64" t="s">
        <v>449</v>
      </c>
      <c r="G50" s="64" t="s">
        <v>537</v>
      </c>
    </row>
    <row r="51" spans="2:9" ht="16.05" customHeight="1" x14ac:dyDescent="0.25">
      <c r="B51" s="62" t="s">
        <v>535</v>
      </c>
      <c r="C51" s="62" t="s">
        <v>538</v>
      </c>
      <c r="D51" s="67">
        <v>250</v>
      </c>
      <c r="E51" s="64" t="s">
        <v>437</v>
      </c>
      <c r="F51" s="64" t="s">
        <v>449</v>
      </c>
      <c r="G51" s="64" t="s">
        <v>539</v>
      </c>
    </row>
    <row r="52" spans="2:9" ht="16.05" customHeight="1" x14ac:dyDescent="0.25">
      <c r="B52" s="185" t="s">
        <v>540</v>
      </c>
      <c r="C52" s="185"/>
      <c r="D52" s="185"/>
      <c r="E52" s="185"/>
      <c r="F52" s="185"/>
      <c r="G52" s="185"/>
      <c r="H52" s="185"/>
      <c r="I52" s="185"/>
    </row>
    <row r="53" spans="2:9" ht="16.05" customHeight="1" x14ac:dyDescent="0.25">
      <c r="B53" s="60" t="s">
        <v>4</v>
      </c>
      <c r="C53" s="60" t="s">
        <v>541</v>
      </c>
      <c r="D53" s="60" t="s">
        <v>23</v>
      </c>
      <c r="E53" s="60" t="s">
        <v>24</v>
      </c>
      <c r="F53" s="60" t="s">
        <v>25</v>
      </c>
      <c r="G53" s="60" t="s">
        <v>393</v>
      </c>
    </row>
    <row r="54" spans="2:9" ht="16.05" customHeight="1" x14ac:dyDescent="0.25">
      <c r="B54" s="69" t="s">
        <v>542</v>
      </c>
      <c r="C54" s="69" t="s">
        <v>543</v>
      </c>
      <c r="D54" s="70">
        <v>0.2</v>
      </c>
      <c r="E54" s="70">
        <v>0.6</v>
      </c>
      <c r="F54" s="70">
        <v>1</v>
      </c>
      <c r="G54" s="71" t="s">
        <v>403</v>
      </c>
    </row>
    <row r="55" spans="2:9" ht="16.05" customHeight="1" x14ac:dyDescent="0.25">
      <c r="B55" s="69" t="s">
        <v>544</v>
      </c>
      <c r="C55" s="69" t="s">
        <v>545</v>
      </c>
      <c r="D55" s="72">
        <f>IF($E$148="",300,$E$148)</f>
        <v>300</v>
      </c>
      <c r="E55" s="72">
        <f>IF($E$148="",250,$E$148)</f>
        <v>250</v>
      </c>
      <c r="F55" s="72">
        <f>IF($E$148="",200,$E$148)</f>
        <v>200</v>
      </c>
      <c r="G55" s="71" t="s">
        <v>437</v>
      </c>
    </row>
    <row r="56" spans="2:9" ht="16.05" customHeight="1" x14ac:dyDescent="0.25">
      <c r="C56" s="58" t="s">
        <v>546</v>
      </c>
    </row>
    <row r="57" spans="2:9" ht="16.05" customHeight="1" x14ac:dyDescent="0.25"/>
    <row r="58" spans="2:9" ht="16.05" customHeight="1" x14ac:dyDescent="0.25">
      <c r="B58" s="185" t="s">
        <v>547</v>
      </c>
      <c r="C58" s="185"/>
      <c r="D58" s="185"/>
      <c r="E58" s="185"/>
      <c r="F58" s="185"/>
      <c r="G58" s="185"/>
      <c r="H58" s="185"/>
      <c r="I58" s="185"/>
    </row>
    <row r="59" spans="2:9" ht="16.05" customHeight="1" x14ac:dyDescent="0.25">
      <c r="B59" s="60" t="s">
        <v>4</v>
      </c>
      <c r="C59" s="60" t="s">
        <v>232</v>
      </c>
      <c r="D59" s="60" t="s">
        <v>548</v>
      </c>
      <c r="E59" s="60" t="s">
        <v>549</v>
      </c>
      <c r="F59" s="60" t="s">
        <v>550</v>
      </c>
      <c r="G59" s="60" t="s">
        <v>7</v>
      </c>
    </row>
    <row r="60" spans="2:9" ht="16.05" customHeight="1" x14ac:dyDescent="0.25">
      <c r="B60" s="62" t="s">
        <v>551</v>
      </c>
      <c r="C60" s="62" t="s">
        <v>552</v>
      </c>
      <c r="D60" s="67">
        <v>35000</v>
      </c>
      <c r="F60" s="64" t="s">
        <v>553</v>
      </c>
      <c r="G60" s="64" t="s">
        <v>554</v>
      </c>
    </row>
    <row r="61" spans="2:9" ht="16.05" customHeight="1" x14ac:dyDescent="0.25">
      <c r="B61" s="62" t="s">
        <v>555</v>
      </c>
      <c r="C61" s="62" t="s">
        <v>556</v>
      </c>
      <c r="D61" s="67">
        <v>25000</v>
      </c>
      <c r="F61" s="64" t="s">
        <v>553</v>
      </c>
      <c r="G61" s="64" t="s">
        <v>557</v>
      </c>
    </row>
    <row r="62" spans="2:9" ht="16.05" customHeight="1" x14ac:dyDescent="0.25">
      <c r="B62" s="62" t="s">
        <v>558</v>
      </c>
      <c r="C62" s="62" t="s">
        <v>559</v>
      </c>
      <c r="D62" s="67">
        <v>25000</v>
      </c>
      <c r="F62" s="64" t="s">
        <v>553</v>
      </c>
      <c r="G62" s="64" t="s">
        <v>560</v>
      </c>
    </row>
    <row r="63" spans="2:9" ht="16.05" customHeight="1" x14ac:dyDescent="0.25">
      <c r="B63" s="62" t="s">
        <v>561</v>
      </c>
      <c r="C63" s="62" t="s">
        <v>562</v>
      </c>
      <c r="D63" s="67">
        <v>50000</v>
      </c>
      <c r="F63" s="64" t="s">
        <v>563</v>
      </c>
      <c r="G63" s="64" t="s">
        <v>564</v>
      </c>
    </row>
    <row r="64" spans="2:9" ht="16.05" customHeight="1" x14ac:dyDescent="0.25">
      <c r="B64" s="62" t="s">
        <v>565</v>
      </c>
      <c r="C64" s="62" t="s">
        <v>566</v>
      </c>
      <c r="D64" s="67">
        <v>30000</v>
      </c>
      <c r="F64" s="64" t="s">
        <v>553</v>
      </c>
      <c r="G64" s="64" t="s">
        <v>567</v>
      </c>
    </row>
    <row r="65" spans="2:9" ht="16.05" customHeight="1" x14ac:dyDescent="0.25">
      <c r="B65" s="62" t="s">
        <v>568</v>
      </c>
      <c r="C65" s="62" t="s">
        <v>569</v>
      </c>
      <c r="D65" s="67">
        <v>80000</v>
      </c>
      <c r="F65" s="64" t="s">
        <v>563</v>
      </c>
      <c r="G65" s="64" t="s">
        <v>570</v>
      </c>
    </row>
    <row r="66" spans="2:9" ht="16.05" customHeight="1" x14ac:dyDescent="0.25">
      <c r="B66" s="62" t="s">
        <v>571</v>
      </c>
      <c r="C66" s="62" t="s">
        <v>572</v>
      </c>
      <c r="D66" s="67">
        <v>40000</v>
      </c>
      <c r="F66" s="64" t="s">
        <v>563</v>
      </c>
      <c r="G66" s="64" t="s">
        <v>573</v>
      </c>
    </row>
    <row r="67" spans="2:9" ht="16.05" customHeight="1" x14ac:dyDescent="0.25">
      <c r="B67" s="62" t="s">
        <v>574</v>
      </c>
      <c r="C67" s="62" t="s">
        <v>575</v>
      </c>
      <c r="D67" s="67">
        <v>80000</v>
      </c>
      <c r="F67" s="64" t="s">
        <v>576</v>
      </c>
      <c r="G67" s="64" t="s">
        <v>577</v>
      </c>
    </row>
    <row r="68" spans="2:9" ht="16.05" customHeight="1" x14ac:dyDescent="0.25">
      <c r="B68" s="62" t="s">
        <v>578</v>
      </c>
      <c r="C68" s="62" t="s">
        <v>579</v>
      </c>
      <c r="D68" s="67">
        <v>150000</v>
      </c>
      <c r="F68" s="64" t="s">
        <v>580</v>
      </c>
      <c r="G68" s="64" t="s">
        <v>581</v>
      </c>
    </row>
    <row r="69" spans="2:9" ht="16.05" customHeight="1" x14ac:dyDescent="0.25">
      <c r="B69" s="62" t="s">
        <v>582</v>
      </c>
      <c r="C69" s="62" t="s">
        <v>583</v>
      </c>
      <c r="D69" s="67">
        <v>60000</v>
      </c>
      <c r="F69" s="64" t="s">
        <v>580</v>
      </c>
      <c r="G69" s="64" t="s">
        <v>584</v>
      </c>
    </row>
    <row r="70" spans="2:9" ht="16.05" customHeight="1" x14ac:dyDescent="0.25">
      <c r="B70" s="62" t="s">
        <v>585</v>
      </c>
      <c r="C70" s="62" t="s">
        <v>586</v>
      </c>
      <c r="D70" s="67">
        <v>35000</v>
      </c>
      <c r="F70" s="64" t="s">
        <v>580</v>
      </c>
      <c r="G70" s="64" t="s">
        <v>587</v>
      </c>
    </row>
    <row r="71" spans="2:9" ht="16.05" customHeight="1" x14ac:dyDescent="0.25">
      <c r="B71" s="62" t="s">
        <v>588</v>
      </c>
      <c r="C71" s="62" t="s">
        <v>589</v>
      </c>
      <c r="D71" s="67">
        <v>80000</v>
      </c>
      <c r="F71" s="64" t="s">
        <v>590</v>
      </c>
      <c r="G71" s="64" t="s">
        <v>591</v>
      </c>
    </row>
    <row r="72" spans="2:9" ht="16.05" customHeight="1" x14ac:dyDescent="0.25">
      <c r="B72" s="62" t="s">
        <v>592</v>
      </c>
      <c r="C72" s="62" t="s">
        <v>593</v>
      </c>
      <c r="E72" s="67">
        <v>6000000</v>
      </c>
      <c r="F72" s="64" t="s">
        <v>563</v>
      </c>
      <c r="G72" s="64" t="s">
        <v>594</v>
      </c>
    </row>
    <row r="73" spans="2:9" ht="16.05" customHeight="1" x14ac:dyDescent="0.25">
      <c r="B73" s="62" t="s">
        <v>595</v>
      </c>
      <c r="C73" s="62" t="s">
        <v>596</v>
      </c>
      <c r="E73" s="67">
        <v>4000000</v>
      </c>
      <c r="F73" s="64" t="s">
        <v>590</v>
      </c>
      <c r="G73" s="64" t="s">
        <v>597</v>
      </c>
    </row>
    <row r="74" spans="2:9" ht="16.05" customHeight="1" x14ac:dyDescent="0.25">
      <c r="B74" s="62" t="s">
        <v>598</v>
      </c>
      <c r="C74" s="62" t="s">
        <v>599</v>
      </c>
      <c r="E74" s="67">
        <v>2500000</v>
      </c>
      <c r="F74" s="64" t="s">
        <v>590</v>
      </c>
      <c r="G74" s="64" t="s">
        <v>600</v>
      </c>
    </row>
    <row r="75" spans="2:9" ht="16.05" customHeight="1" x14ac:dyDescent="0.25"/>
    <row r="76" spans="2:9" ht="16.05" customHeight="1" x14ac:dyDescent="0.25">
      <c r="B76" s="185" t="s">
        <v>601</v>
      </c>
      <c r="C76" s="185"/>
      <c r="D76" s="185"/>
      <c r="E76" s="185"/>
      <c r="F76" s="185"/>
      <c r="G76" s="185"/>
      <c r="H76" s="185"/>
      <c r="I76" s="185"/>
    </row>
    <row r="77" spans="2:9" ht="16.05" customHeight="1" x14ac:dyDescent="0.25">
      <c r="B77" s="60" t="s">
        <v>4</v>
      </c>
      <c r="C77" s="60" t="s">
        <v>5</v>
      </c>
      <c r="D77" s="60" t="s">
        <v>6</v>
      </c>
      <c r="E77" s="60" t="s">
        <v>393</v>
      </c>
      <c r="F77" s="60" t="s">
        <v>394</v>
      </c>
      <c r="G77" s="60" t="s">
        <v>7</v>
      </c>
    </row>
    <row r="78" spans="2:9" ht="16.05" customHeight="1" x14ac:dyDescent="0.25">
      <c r="B78" s="62" t="s">
        <v>602</v>
      </c>
      <c r="C78" s="62" t="s">
        <v>603</v>
      </c>
      <c r="D78" s="66">
        <v>0.13333300000000001</v>
      </c>
      <c r="E78" s="64" t="s">
        <v>604</v>
      </c>
      <c r="F78" s="64" t="s">
        <v>449</v>
      </c>
      <c r="G78" s="64" t="s">
        <v>605</v>
      </c>
    </row>
    <row r="79" spans="2:9" ht="16.05" customHeight="1" x14ac:dyDescent="0.25">
      <c r="B79" s="62" t="s">
        <v>606</v>
      </c>
      <c r="C79" s="62" t="s">
        <v>607</v>
      </c>
      <c r="D79" s="66">
        <v>2.5</v>
      </c>
      <c r="E79" s="64" t="s">
        <v>433</v>
      </c>
      <c r="F79" s="64" t="s">
        <v>449</v>
      </c>
      <c r="G79" s="64" t="s">
        <v>608</v>
      </c>
    </row>
    <row r="80" spans="2:9" ht="16.05" customHeight="1" x14ac:dyDescent="0.25">
      <c r="B80" s="62" t="s">
        <v>609</v>
      </c>
      <c r="C80" s="62" t="s">
        <v>610</v>
      </c>
      <c r="D80" s="66">
        <v>1.2</v>
      </c>
      <c r="E80" s="64" t="s">
        <v>433</v>
      </c>
      <c r="F80" s="64" t="s">
        <v>429</v>
      </c>
      <c r="G80" s="64" t="s">
        <v>611</v>
      </c>
    </row>
    <row r="81" spans="2:9" ht="16.05" customHeight="1" x14ac:dyDescent="0.25">
      <c r="B81" s="62" t="s">
        <v>612</v>
      </c>
      <c r="C81" s="62" t="s">
        <v>613</v>
      </c>
      <c r="D81" s="67">
        <v>3</v>
      </c>
      <c r="E81" s="64" t="s">
        <v>614</v>
      </c>
      <c r="F81" s="64" t="s">
        <v>425</v>
      </c>
      <c r="G81" s="64" t="s">
        <v>615</v>
      </c>
    </row>
    <row r="82" spans="2:9" ht="16.05" customHeight="1" x14ac:dyDescent="0.25">
      <c r="B82" s="62" t="s">
        <v>616</v>
      </c>
      <c r="C82" s="62" t="s">
        <v>617</v>
      </c>
      <c r="D82" s="66">
        <v>0.05</v>
      </c>
      <c r="E82" s="64" t="s">
        <v>618</v>
      </c>
      <c r="F82" s="64" t="s">
        <v>449</v>
      </c>
      <c r="G82" s="64" t="s">
        <v>619</v>
      </c>
    </row>
    <row r="83" spans="2:9" ht="16.05" customHeight="1" x14ac:dyDescent="0.25">
      <c r="B83" s="62" t="s">
        <v>620</v>
      </c>
      <c r="C83" s="62" t="s">
        <v>621</v>
      </c>
      <c r="D83" s="66">
        <v>2.6</v>
      </c>
      <c r="E83" s="64" t="s">
        <v>433</v>
      </c>
      <c r="F83" s="64" t="s">
        <v>449</v>
      </c>
      <c r="G83" s="64" t="s">
        <v>622</v>
      </c>
    </row>
    <row r="84" spans="2:9" ht="16.05" customHeight="1" x14ac:dyDescent="0.25">
      <c r="B84" s="62" t="s">
        <v>623</v>
      </c>
      <c r="C84" s="62" t="s">
        <v>624</v>
      </c>
      <c r="D84" s="67">
        <v>7000</v>
      </c>
      <c r="E84" s="64" t="s">
        <v>625</v>
      </c>
      <c r="F84" s="64" t="s">
        <v>416</v>
      </c>
      <c r="G84" s="64" t="s">
        <v>626</v>
      </c>
    </row>
    <row r="85" spans="2:9" ht="16.05" customHeight="1" x14ac:dyDescent="0.25">
      <c r="B85" s="62" t="s">
        <v>627</v>
      </c>
      <c r="C85" s="62" t="s">
        <v>628</v>
      </c>
      <c r="D85" s="67">
        <v>536667</v>
      </c>
      <c r="E85" s="64" t="s">
        <v>629</v>
      </c>
      <c r="F85" s="64" t="s">
        <v>420</v>
      </c>
      <c r="G85" s="64" t="s">
        <v>630</v>
      </c>
    </row>
    <row r="86" spans="2:9" ht="16.05" customHeight="1" x14ac:dyDescent="0.25">
      <c r="B86" s="62" t="s">
        <v>631</v>
      </c>
      <c r="C86" s="62" t="s">
        <v>632</v>
      </c>
      <c r="D86" s="67">
        <v>208333</v>
      </c>
      <c r="E86" s="64" t="s">
        <v>629</v>
      </c>
      <c r="F86" s="64" t="s">
        <v>416</v>
      </c>
      <c r="G86" s="64" t="s">
        <v>633</v>
      </c>
    </row>
    <row r="87" spans="2:9" ht="16.05" customHeight="1" x14ac:dyDescent="0.25">
      <c r="B87" s="62" t="s">
        <v>634</v>
      </c>
      <c r="C87" s="62" t="s">
        <v>635</v>
      </c>
      <c r="D87" s="67">
        <v>100000</v>
      </c>
      <c r="E87" s="64" t="s">
        <v>629</v>
      </c>
      <c r="F87" s="64" t="s">
        <v>449</v>
      </c>
      <c r="G87" s="64" t="s">
        <v>636</v>
      </c>
    </row>
    <row r="88" spans="2:9" ht="16.05" customHeight="1" x14ac:dyDescent="0.25"/>
    <row r="89" spans="2:9" ht="16.05" customHeight="1" x14ac:dyDescent="0.25"/>
    <row r="90" spans="2:9" ht="16.05" customHeight="1" x14ac:dyDescent="0.25">
      <c r="B90" s="185" t="s">
        <v>637</v>
      </c>
      <c r="C90" s="185"/>
      <c r="D90" s="185"/>
      <c r="E90" s="185"/>
      <c r="F90" s="185"/>
      <c r="G90" s="185"/>
      <c r="H90" s="185"/>
      <c r="I90" s="185"/>
    </row>
    <row r="91" spans="2:9" ht="16.05" customHeight="1" x14ac:dyDescent="0.25">
      <c r="B91" s="60" t="s">
        <v>4</v>
      </c>
      <c r="C91" s="60" t="s">
        <v>5</v>
      </c>
      <c r="D91" s="60" t="s">
        <v>6</v>
      </c>
      <c r="E91" s="60" t="s">
        <v>393</v>
      </c>
      <c r="F91" s="60" t="s">
        <v>394</v>
      </c>
      <c r="G91" s="60" t="s">
        <v>638</v>
      </c>
    </row>
    <row r="92" spans="2:9" ht="16.05" customHeight="1" x14ac:dyDescent="0.25">
      <c r="B92" s="73" t="s">
        <v>639</v>
      </c>
      <c r="C92" s="73" t="s">
        <v>640</v>
      </c>
      <c r="D92" s="74">
        <v>83</v>
      </c>
      <c r="E92" s="75" t="s">
        <v>437</v>
      </c>
      <c r="F92" s="75" t="s">
        <v>449</v>
      </c>
      <c r="G92" s="75" t="s">
        <v>641</v>
      </c>
    </row>
    <row r="93" spans="2:9" ht="16.05" customHeight="1" x14ac:dyDescent="0.25">
      <c r="B93" s="73" t="s">
        <v>642</v>
      </c>
      <c r="C93" s="73" t="s">
        <v>643</v>
      </c>
      <c r="D93" s="76">
        <v>0.82</v>
      </c>
      <c r="E93" s="75" t="s">
        <v>403</v>
      </c>
      <c r="F93" s="75" t="s">
        <v>449</v>
      </c>
      <c r="G93" s="75" t="s">
        <v>644</v>
      </c>
    </row>
    <row r="94" spans="2:9" ht="16.05" customHeight="1" x14ac:dyDescent="0.25"/>
    <row r="95" spans="2:9" ht="16.05" customHeight="1" x14ac:dyDescent="0.25">
      <c r="B95" s="185" t="s">
        <v>645</v>
      </c>
      <c r="C95" s="185"/>
      <c r="D95" s="185"/>
      <c r="E95" s="185"/>
      <c r="F95" s="185"/>
      <c r="G95" s="185"/>
      <c r="H95" s="185"/>
      <c r="I95" s="185"/>
    </row>
    <row r="96" spans="2:9" ht="16.05" customHeight="1" x14ac:dyDescent="0.25">
      <c r="B96" s="60" t="s">
        <v>5</v>
      </c>
      <c r="C96" s="60" t="s">
        <v>646</v>
      </c>
      <c r="D96" s="60" t="s">
        <v>647</v>
      </c>
      <c r="E96" s="60" t="s">
        <v>648</v>
      </c>
    </row>
    <row r="97" spans="2:9" ht="16.05" customHeight="1" x14ac:dyDescent="0.25">
      <c r="B97" s="62" t="s">
        <v>423</v>
      </c>
      <c r="C97" s="62" t="s">
        <v>649</v>
      </c>
      <c r="D97" s="64" t="s">
        <v>650</v>
      </c>
      <c r="E97" s="64" t="s">
        <v>651</v>
      </c>
    </row>
    <row r="98" spans="2:9" ht="16.05" customHeight="1" x14ac:dyDescent="0.25">
      <c r="B98" s="62" t="s">
        <v>652</v>
      </c>
      <c r="C98" s="62" t="s">
        <v>653</v>
      </c>
      <c r="D98" s="64" t="s">
        <v>654</v>
      </c>
      <c r="E98" s="64" t="s">
        <v>655</v>
      </c>
    </row>
    <row r="99" spans="2:9" ht="16.05" customHeight="1" x14ac:dyDescent="0.25">
      <c r="B99" s="62" t="s">
        <v>656</v>
      </c>
      <c r="C99" s="62" t="s">
        <v>657</v>
      </c>
      <c r="D99" s="64" t="s">
        <v>658</v>
      </c>
      <c r="E99" s="64" t="s">
        <v>659</v>
      </c>
    </row>
    <row r="100" spans="2:9" ht="16.05" customHeight="1" x14ac:dyDescent="0.25">
      <c r="B100" s="62" t="s">
        <v>660</v>
      </c>
      <c r="C100" s="62" t="s">
        <v>661</v>
      </c>
      <c r="D100" s="64" t="s">
        <v>662</v>
      </c>
      <c r="E100" s="64" t="s">
        <v>663</v>
      </c>
    </row>
    <row r="101" spans="2:9" ht="16.05" customHeight="1" x14ac:dyDescent="0.25">
      <c r="B101" s="62" t="s">
        <v>664</v>
      </c>
      <c r="C101" s="62" t="s">
        <v>665</v>
      </c>
      <c r="D101" s="64" t="s">
        <v>666</v>
      </c>
      <c r="E101" s="64" t="s">
        <v>667</v>
      </c>
    </row>
    <row r="102" spans="2:9" ht="16.05" customHeight="1" x14ac:dyDescent="0.25">
      <c r="B102" s="62" t="s">
        <v>173</v>
      </c>
      <c r="C102" s="62" t="s">
        <v>668</v>
      </c>
      <c r="D102" s="64" t="s">
        <v>669</v>
      </c>
      <c r="E102" s="64" t="s">
        <v>670</v>
      </c>
    </row>
    <row r="103" spans="2:9" ht="16.05" customHeight="1" x14ac:dyDescent="0.25">
      <c r="B103" s="62" t="s">
        <v>671</v>
      </c>
      <c r="C103" s="62" t="s">
        <v>672</v>
      </c>
      <c r="D103" s="64" t="s">
        <v>673</v>
      </c>
      <c r="E103" s="64" t="s">
        <v>674</v>
      </c>
    </row>
    <row r="104" spans="2:9" ht="16.05" customHeight="1" x14ac:dyDescent="0.25"/>
    <row r="105" spans="2:9" ht="16.05" customHeight="1" x14ac:dyDescent="0.25">
      <c r="B105" s="185" t="s">
        <v>675</v>
      </c>
      <c r="C105" s="185"/>
      <c r="D105" s="185"/>
      <c r="E105" s="185"/>
      <c r="F105" s="185"/>
      <c r="G105" s="185"/>
      <c r="H105" s="185"/>
      <c r="I105" s="185"/>
    </row>
    <row r="106" spans="2:9" ht="16.05" customHeight="1" x14ac:dyDescent="0.25">
      <c r="B106" s="60" t="s">
        <v>4</v>
      </c>
      <c r="C106" s="60" t="s">
        <v>446</v>
      </c>
      <c r="D106" s="60" t="s">
        <v>676</v>
      </c>
      <c r="E106" s="60" t="s">
        <v>677</v>
      </c>
    </row>
    <row r="107" spans="2:9" ht="16.05" customHeight="1" x14ac:dyDescent="0.25">
      <c r="B107" s="62" t="s">
        <v>678</v>
      </c>
      <c r="C107" s="62" t="s">
        <v>679</v>
      </c>
      <c r="D107" s="64" t="s">
        <v>680</v>
      </c>
      <c r="E107" s="64" t="s">
        <v>681</v>
      </c>
    </row>
    <row r="108" spans="2:9" ht="16.05" customHeight="1" x14ac:dyDescent="0.25">
      <c r="B108" s="62" t="s">
        <v>682</v>
      </c>
      <c r="C108" s="62" t="s">
        <v>683</v>
      </c>
      <c r="D108" s="64" t="s">
        <v>684</v>
      </c>
      <c r="E108" s="64" t="s">
        <v>685</v>
      </c>
    </row>
    <row r="109" spans="2:9" ht="16.05" customHeight="1" x14ac:dyDescent="0.25">
      <c r="B109" s="62" t="s">
        <v>686</v>
      </c>
      <c r="C109" s="62" t="s">
        <v>687</v>
      </c>
      <c r="D109" s="64" t="s">
        <v>688</v>
      </c>
      <c r="E109" s="64" t="s">
        <v>689</v>
      </c>
    </row>
    <row r="110" spans="2:9" ht="16.05" customHeight="1" x14ac:dyDescent="0.25">
      <c r="B110" s="62" t="s">
        <v>690</v>
      </c>
      <c r="C110" s="62" t="s">
        <v>691</v>
      </c>
      <c r="D110" s="64" t="s">
        <v>692</v>
      </c>
      <c r="E110" s="64" t="s">
        <v>693</v>
      </c>
    </row>
    <row r="111" spans="2:9" ht="16.05" customHeight="1" x14ac:dyDescent="0.25">
      <c r="B111" s="62" t="s">
        <v>694</v>
      </c>
      <c r="C111" s="62" t="s">
        <v>695</v>
      </c>
      <c r="D111" s="64" t="s">
        <v>696</v>
      </c>
      <c r="E111" s="64" t="s">
        <v>697</v>
      </c>
    </row>
    <row r="112" spans="2:9" ht="16.05" customHeight="1" x14ac:dyDescent="0.25">
      <c r="B112" s="62" t="s">
        <v>698</v>
      </c>
      <c r="C112" s="62" t="s">
        <v>699</v>
      </c>
      <c r="D112" s="64" t="s">
        <v>700</v>
      </c>
      <c r="E112" s="64" t="s">
        <v>701</v>
      </c>
    </row>
    <row r="113" spans="2:7" ht="16.05" customHeight="1" x14ac:dyDescent="0.25">
      <c r="B113" s="62" t="s">
        <v>702</v>
      </c>
      <c r="C113" s="62" t="s">
        <v>703</v>
      </c>
      <c r="D113" s="64" t="s">
        <v>704</v>
      </c>
      <c r="E113" s="64" t="s">
        <v>705</v>
      </c>
    </row>
    <row r="114" spans="2:7" ht="16.05" customHeight="1" x14ac:dyDescent="0.25">
      <c r="B114" s="62" t="s">
        <v>706</v>
      </c>
      <c r="C114" s="62" t="s">
        <v>707</v>
      </c>
      <c r="D114" s="64" t="s">
        <v>708</v>
      </c>
      <c r="E114" s="64" t="s">
        <v>709</v>
      </c>
    </row>
    <row r="115" spans="2:7" ht="16.05" customHeight="1" x14ac:dyDescent="0.25"/>
    <row r="116" spans="2:7" ht="16.05" customHeight="1" x14ac:dyDescent="0.25">
      <c r="B116" s="185" t="s">
        <v>710</v>
      </c>
      <c r="C116" s="185"/>
      <c r="D116" s="185"/>
      <c r="E116" s="185"/>
      <c r="F116" s="185"/>
    </row>
    <row r="117" spans="2:7" ht="16.05" customHeight="1" x14ac:dyDescent="0.25">
      <c r="B117" s="60" t="s">
        <v>4</v>
      </c>
      <c r="C117" s="60" t="s">
        <v>5</v>
      </c>
      <c r="D117" s="60" t="s">
        <v>6</v>
      </c>
      <c r="E117" s="60" t="s">
        <v>393</v>
      </c>
      <c r="F117" s="60" t="s">
        <v>394</v>
      </c>
      <c r="G117" s="60" t="s">
        <v>395</v>
      </c>
    </row>
    <row r="118" spans="2:7" ht="16.05" customHeight="1" x14ac:dyDescent="0.25">
      <c r="B118" s="62" t="s">
        <v>711</v>
      </c>
      <c r="C118" s="62" t="s">
        <v>712</v>
      </c>
      <c r="D118" s="77">
        <v>3.2000000000000001E-2</v>
      </c>
      <c r="E118" s="62" t="s">
        <v>494</v>
      </c>
      <c r="F118" s="62" t="s">
        <v>399</v>
      </c>
      <c r="G118" s="62" t="s">
        <v>713</v>
      </c>
    </row>
    <row r="119" spans="2:7" ht="16.05" customHeight="1" x14ac:dyDescent="0.25">
      <c r="B119" s="62" t="s">
        <v>714</v>
      </c>
      <c r="C119" s="62" t="s">
        <v>715</v>
      </c>
      <c r="D119" s="78">
        <v>0.15</v>
      </c>
      <c r="E119" s="62" t="s">
        <v>403</v>
      </c>
      <c r="F119" s="62" t="s">
        <v>429</v>
      </c>
      <c r="G119" s="62" t="s">
        <v>716</v>
      </c>
    </row>
    <row r="120" spans="2:7" ht="16.05" customHeight="1" x14ac:dyDescent="0.25">
      <c r="B120" s="62" t="s">
        <v>717</v>
      </c>
      <c r="C120" s="62" t="s">
        <v>718</v>
      </c>
      <c r="D120" s="79">
        <v>3</v>
      </c>
      <c r="E120" s="62" t="s">
        <v>719</v>
      </c>
      <c r="F120" s="62" t="s">
        <v>429</v>
      </c>
      <c r="G120" s="62" t="s">
        <v>720</v>
      </c>
    </row>
    <row r="121" spans="2:7" ht="16.05" customHeight="1" x14ac:dyDescent="0.25"/>
    <row r="122" spans="2:7" ht="16.05" customHeight="1" x14ac:dyDescent="0.25">
      <c r="B122" s="185" t="s">
        <v>721</v>
      </c>
      <c r="C122" s="185"/>
      <c r="D122" s="185"/>
      <c r="E122" s="185"/>
      <c r="F122" s="185"/>
    </row>
    <row r="123" spans="2:7" ht="16.05" customHeight="1" x14ac:dyDescent="0.25">
      <c r="B123" s="60" t="s">
        <v>4</v>
      </c>
      <c r="C123" s="60" t="s">
        <v>5</v>
      </c>
      <c r="D123" s="60" t="s">
        <v>6</v>
      </c>
      <c r="E123" s="60" t="s">
        <v>393</v>
      </c>
      <c r="F123" s="60" t="s">
        <v>394</v>
      </c>
      <c r="G123" s="60" t="s">
        <v>7</v>
      </c>
    </row>
    <row r="124" spans="2:7" ht="16.05" customHeight="1" x14ac:dyDescent="0.25">
      <c r="B124" s="62" t="s">
        <v>722</v>
      </c>
      <c r="C124" s="62" t="s">
        <v>723</v>
      </c>
      <c r="D124" s="79">
        <v>20</v>
      </c>
      <c r="E124" s="62" t="s">
        <v>724</v>
      </c>
      <c r="F124" s="62" t="s">
        <v>449</v>
      </c>
      <c r="G124" s="62" t="s">
        <v>725</v>
      </c>
    </row>
    <row r="125" spans="2:7" ht="16.05" customHeight="1" x14ac:dyDescent="0.25">
      <c r="B125" s="62" t="s">
        <v>726</v>
      </c>
      <c r="C125" s="62" t="s">
        <v>727</v>
      </c>
      <c r="D125" s="79">
        <v>1800</v>
      </c>
      <c r="E125" s="62" t="s">
        <v>604</v>
      </c>
      <c r="F125" s="62" t="s">
        <v>429</v>
      </c>
      <c r="G125" s="62" t="s">
        <v>728</v>
      </c>
    </row>
    <row r="126" spans="2:7" ht="16.05" customHeight="1" x14ac:dyDescent="0.25">
      <c r="B126" s="62" t="s">
        <v>729</v>
      </c>
      <c r="C126" s="62" t="s">
        <v>730</v>
      </c>
      <c r="D126" s="78">
        <v>0.55000000000000004</v>
      </c>
      <c r="E126" s="62" t="s">
        <v>403</v>
      </c>
      <c r="F126" s="62" t="s">
        <v>449</v>
      </c>
      <c r="G126" s="62" t="s">
        <v>731</v>
      </c>
    </row>
    <row r="127" spans="2:7" ht="16.05" customHeight="1" x14ac:dyDescent="0.25">
      <c r="B127" s="62" t="s">
        <v>732</v>
      </c>
      <c r="C127" s="62" t="s">
        <v>733</v>
      </c>
      <c r="D127" s="78">
        <v>0.1</v>
      </c>
      <c r="E127" s="62" t="s">
        <v>403</v>
      </c>
      <c r="F127" s="62" t="s">
        <v>449</v>
      </c>
      <c r="G127" s="62" t="s">
        <v>734</v>
      </c>
    </row>
    <row r="128" spans="2:7" ht="16.05" customHeight="1" x14ac:dyDescent="0.25">
      <c r="B128" s="62" t="s">
        <v>735</v>
      </c>
      <c r="C128" s="62" t="s">
        <v>736</v>
      </c>
      <c r="D128" s="78">
        <v>2.5</v>
      </c>
      <c r="E128" s="62" t="s">
        <v>737</v>
      </c>
      <c r="F128" s="62" t="s">
        <v>449</v>
      </c>
      <c r="G128" s="62" t="s">
        <v>738</v>
      </c>
    </row>
    <row r="129" spans="2:9" ht="16.05" customHeight="1" x14ac:dyDescent="0.25">
      <c r="B129" s="62" t="s">
        <v>739</v>
      </c>
      <c r="C129" s="62" t="s">
        <v>740</v>
      </c>
      <c r="D129" s="79">
        <v>4</v>
      </c>
      <c r="E129" s="62" t="s">
        <v>474</v>
      </c>
      <c r="F129" s="62" t="s">
        <v>449</v>
      </c>
      <c r="G129" s="62" t="s">
        <v>741</v>
      </c>
    </row>
    <row r="130" spans="2:9" ht="16.05" customHeight="1" x14ac:dyDescent="0.25">
      <c r="B130" s="62" t="s">
        <v>742</v>
      </c>
      <c r="C130" s="62" t="s">
        <v>743</v>
      </c>
      <c r="D130" s="79">
        <v>1</v>
      </c>
      <c r="E130" s="62" t="s">
        <v>474</v>
      </c>
      <c r="F130" s="62" t="s">
        <v>449</v>
      </c>
      <c r="G130" s="62" t="s">
        <v>744</v>
      </c>
    </row>
    <row r="131" spans="2:9" ht="16.05" customHeight="1" x14ac:dyDescent="0.25"/>
    <row r="132" spans="2:9" ht="16.05" customHeight="1" x14ac:dyDescent="0.25">
      <c r="B132" s="185" t="s">
        <v>745</v>
      </c>
      <c r="C132" s="185"/>
      <c r="D132" s="185"/>
      <c r="E132" s="185"/>
      <c r="F132" s="185"/>
      <c r="G132" s="185"/>
      <c r="H132" s="185"/>
      <c r="I132" s="185"/>
    </row>
    <row r="133" spans="2:9" ht="16.05" customHeight="1" x14ac:dyDescent="0.25">
      <c r="B133" s="60" t="s">
        <v>4</v>
      </c>
      <c r="C133" s="60" t="s">
        <v>5</v>
      </c>
      <c r="D133" s="60" t="s">
        <v>6</v>
      </c>
      <c r="E133" s="60" t="s">
        <v>393</v>
      </c>
      <c r="F133" s="60" t="s">
        <v>394</v>
      </c>
      <c r="G133" s="60" t="s">
        <v>395</v>
      </c>
    </row>
    <row r="134" spans="2:9" ht="16.05" customHeight="1" x14ac:dyDescent="0.25">
      <c r="B134" s="62" t="s">
        <v>746</v>
      </c>
      <c r="C134" s="62" t="s">
        <v>747</v>
      </c>
      <c r="D134" s="78">
        <v>1.0469999999999999</v>
      </c>
      <c r="E134" s="62" t="s">
        <v>403</v>
      </c>
      <c r="F134" s="62" t="s">
        <v>399</v>
      </c>
      <c r="G134" s="62" t="s">
        <v>748</v>
      </c>
    </row>
    <row r="135" spans="2:9" ht="16.05" customHeight="1" x14ac:dyDescent="0.25">
      <c r="B135" s="62" t="s">
        <v>749</v>
      </c>
      <c r="C135" s="62" t="s">
        <v>750</v>
      </c>
      <c r="D135" s="79">
        <v>130</v>
      </c>
      <c r="E135" s="62" t="s">
        <v>398</v>
      </c>
      <c r="F135" s="62" t="s">
        <v>399</v>
      </c>
      <c r="G135" s="62" t="s">
        <v>751</v>
      </c>
    </row>
    <row r="136" spans="2:9" ht="16.05" customHeight="1" x14ac:dyDescent="0.25">
      <c r="B136" s="62" t="s">
        <v>752</v>
      </c>
      <c r="C136" s="62" t="s">
        <v>753</v>
      </c>
      <c r="D136" s="77">
        <v>0.74299999999999999</v>
      </c>
      <c r="E136" s="62" t="s">
        <v>403</v>
      </c>
      <c r="F136" s="62" t="s">
        <v>399</v>
      </c>
      <c r="G136" s="62" t="s">
        <v>754</v>
      </c>
    </row>
    <row r="137" spans="2:9" ht="16.05" customHeight="1" x14ac:dyDescent="0.25">
      <c r="B137" s="62" t="s">
        <v>755</v>
      </c>
      <c r="C137" s="62" t="s">
        <v>756</v>
      </c>
      <c r="D137" s="78">
        <v>7.7600000000000002E-2</v>
      </c>
      <c r="E137" s="62" t="s">
        <v>403</v>
      </c>
      <c r="F137" s="62" t="s">
        <v>399</v>
      </c>
      <c r="G137" s="62" t="s">
        <v>757</v>
      </c>
    </row>
    <row r="138" spans="2:9" ht="16.05" customHeight="1" x14ac:dyDescent="0.25">
      <c r="B138" s="62" t="s">
        <v>758</v>
      </c>
      <c r="C138" s="62" t="s">
        <v>759</v>
      </c>
      <c r="D138" s="79">
        <f>D7/D137</f>
        <v>42748.711340206188</v>
      </c>
      <c r="E138" s="62" t="s">
        <v>398</v>
      </c>
      <c r="F138" s="62" t="s">
        <v>760</v>
      </c>
      <c r="G138" s="62" t="s">
        <v>761</v>
      </c>
    </row>
    <row r="139" spans="2:9" ht="16.05" customHeight="1" x14ac:dyDescent="0.25">
      <c r="B139" s="62" t="s">
        <v>762</v>
      </c>
      <c r="C139" s="62" t="s">
        <v>265</v>
      </c>
      <c r="D139" s="79">
        <f>D138*0.01</f>
        <v>427.48711340206188</v>
      </c>
      <c r="E139" s="62" t="s">
        <v>398</v>
      </c>
      <c r="F139" s="62" t="s">
        <v>760</v>
      </c>
      <c r="G139" s="62" t="s">
        <v>763</v>
      </c>
    </row>
    <row r="140" spans="2:9" ht="16.05" customHeight="1" x14ac:dyDescent="0.25">
      <c r="B140" s="62" t="s">
        <v>764</v>
      </c>
      <c r="C140" s="62" t="s">
        <v>765</v>
      </c>
      <c r="D140" s="78">
        <v>2.54</v>
      </c>
      <c r="E140" s="62" t="s">
        <v>403</v>
      </c>
      <c r="F140" s="62" t="s">
        <v>399</v>
      </c>
      <c r="G140" s="62" t="s">
        <v>766</v>
      </c>
    </row>
    <row r="141" spans="2:9" ht="16.05" customHeight="1" x14ac:dyDescent="0.25">
      <c r="B141" s="62" t="s">
        <v>767</v>
      </c>
      <c r="C141" s="62" t="s">
        <v>768</v>
      </c>
      <c r="D141" s="78">
        <v>48.3</v>
      </c>
      <c r="E141" s="62" t="s">
        <v>769</v>
      </c>
      <c r="F141" s="62" t="s">
        <v>399</v>
      </c>
      <c r="G141" s="62" t="s">
        <v>770</v>
      </c>
    </row>
    <row r="142" spans="2:9" ht="16.05" customHeight="1" x14ac:dyDescent="0.25">
      <c r="B142" s="62" t="s">
        <v>771</v>
      </c>
      <c r="C142" s="62" t="s">
        <v>772</v>
      </c>
      <c r="D142" s="78">
        <v>0.72</v>
      </c>
      <c r="E142" s="62" t="s">
        <v>403</v>
      </c>
      <c r="F142" s="62" t="s">
        <v>416</v>
      </c>
      <c r="G142" s="62" t="s">
        <v>773</v>
      </c>
    </row>
    <row r="143" spans="2:9" ht="16.05" customHeight="1" x14ac:dyDescent="0.25">
      <c r="B143" s="62" t="s">
        <v>774</v>
      </c>
      <c r="C143" s="62" t="s">
        <v>775</v>
      </c>
      <c r="D143" s="62" t="s">
        <v>776</v>
      </c>
      <c r="E143" s="62" t="s">
        <v>777</v>
      </c>
      <c r="F143" s="62" t="s">
        <v>420</v>
      </c>
      <c r="G143" s="62" t="s">
        <v>778</v>
      </c>
    </row>
    <row r="144" spans="2:9" ht="16.05" customHeight="1" x14ac:dyDescent="0.25"/>
    <row r="145" spans="2:7" ht="16.05" customHeight="1" x14ac:dyDescent="0.25">
      <c r="B145" s="80" t="s">
        <v>779</v>
      </c>
      <c r="C145" s="80"/>
      <c r="D145" s="80"/>
      <c r="E145" s="80"/>
      <c r="F145" s="80"/>
      <c r="G145" s="80"/>
    </row>
    <row r="146" spans="2:7" ht="16.05" customHeight="1" x14ac:dyDescent="0.25">
      <c r="B146" s="60" t="s">
        <v>4</v>
      </c>
      <c r="C146" s="60" t="s">
        <v>541</v>
      </c>
      <c r="D146" s="60" t="s">
        <v>780</v>
      </c>
      <c r="E146" s="60" t="s">
        <v>781</v>
      </c>
      <c r="F146" s="60" t="s">
        <v>782</v>
      </c>
      <c r="G146" s="60" t="s">
        <v>783</v>
      </c>
    </row>
    <row r="147" spans="2:7" ht="16.05" customHeight="1" x14ac:dyDescent="0.25">
      <c r="B147" s="62" t="s">
        <v>784</v>
      </c>
      <c r="C147" s="62" t="s">
        <v>291</v>
      </c>
      <c r="D147" s="79">
        <v>7</v>
      </c>
      <c r="E147" s="72" t="str">
        <f>IF(Dashboard!$Q$105="","",Dashboard!$Q$105)</f>
        <v/>
      </c>
      <c r="F147" s="79">
        <f>IF(E147="",D147,E147)</f>
        <v>7</v>
      </c>
      <c r="G147" s="62" t="s">
        <v>785</v>
      </c>
    </row>
    <row r="148" spans="2:7" ht="16.05" customHeight="1" x14ac:dyDescent="0.25">
      <c r="B148" s="62" t="s">
        <v>786</v>
      </c>
      <c r="C148" s="62" t="s">
        <v>787</v>
      </c>
      <c r="D148" s="62" t="s">
        <v>788</v>
      </c>
      <c r="E148" s="72" t="str">
        <f>IF(Dashboard!$Q$108="","",Dashboard!$Q$108)</f>
        <v/>
      </c>
      <c r="F148" s="79" t="str">
        <f>IF(E148="","by plan",E148)</f>
        <v>by plan</v>
      </c>
      <c r="G148" s="62" t="s">
        <v>789</v>
      </c>
    </row>
    <row r="149" spans="2:7" ht="16.05" customHeight="1" x14ac:dyDescent="0.25">
      <c r="B149" s="62" t="s">
        <v>790</v>
      </c>
      <c r="C149" s="62" t="s">
        <v>791</v>
      </c>
      <c r="D149" s="78">
        <v>0.9</v>
      </c>
      <c r="E149" s="72" t="str">
        <f>IF(Dashboard!$Q$111="","",Dashboard!$Q$111)</f>
        <v/>
      </c>
      <c r="F149" s="78">
        <f>IF(E149="",D149,E149)</f>
        <v>0.9</v>
      </c>
      <c r="G149" s="62" t="s">
        <v>792</v>
      </c>
    </row>
    <row r="150" spans="2:7" ht="16.05" customHeight="1" x14ac:dyDescent="0.25">
      <c r="B150" s="62" t="s">
        <v>793</v>
      </c>
      <c r="C150" s="62" t="s">
        <v>794</v>
      </c>
      <c r="D150" s="79">
        <v>45000</v>
      </c>
      <c r="E150" s="72" t="str">
        <f>IF(Dashboard!$Q$114="","",Dashboard!$Q$114)</f>
        <v/>
      </c>
      <c r="F150" s="79">
        <f>IF(E150="",D150,E150)</f>
        <v>45000</v>
      </c>
      <c r="G150" s="62" t="s">
        <v>795</v>
      </c>
    </row>
    <row r="151" spans="2:7" ht="16.05" customHeight="1" x14ac:dyDescent="0.25"/>
    <row r="152" spans="2:7" ht="16.05" customHeight="1" x14ac:dyDescent="0.25">
      <c r="C152" s="58" t="s">
        <v>796</v>
      </c>
    </row>
    <row r="153" spans="2:7" ht="16.05" customHeight="1" x14ac:dyDescent="0.25"/>
    <row r="154" spans="2:7" ht="16.05" customHeight="1" x14ac:dyDescent="0.25">
      <c r="B154" s="59" t="s">
        <v>797</v>
      </c>
    </row>
    <row r="155" spans="2:7" ht="16.05" customHeight="1" x14ac:dyDescent="0.25">
      <c r="B155" s="60" t="s">
        <v>4</v>
      </c>
      <c r="C155" s="60" t="s">
        <v>5</v>
      </c>
      <c r="D155" s="60" t="s">
        <v>6</v>
      </c>
      <c r="E155" s="60" t="s">
        <v>393</v>
      </c>
      <c r="F155" s="60" t="s">
        <v>394</v>
      </c>
      <c r="G155" s="60" t="s">
        <v>395</v>
      </c>
    </row>
    <row r="156" spans="2:7" ht="16.05" customHeight="1" x14ac:dyDescent="0.25">
      <c r="B156" s="62" t="s">
        <v>798</v>
      </c>
      <c r="C156" s="62" t="s">
        <v>799</v>
      </c>
      <c r="D156" s="81">
        <v>1.5</v>
      </c>
      <c r="E156" s="62" t="s">
        <v>800</v>
      </c>
      <c r="F156" s="62" t="s">
        <v>801</v>
      </c>
      <c r="G156" s="62" t="s">
        <v>802</v>
      </c>
    </row>
    <row r="157" spans="2:7" ht="16.05" customHeight="1" x14ac:dyDescent="0.25">
      <c r="B157" s="62" t="s">
        <v>803</v>
      </c>
      <c r="C157" s="62" t="s">
        <v>804</v>
      </c>
      <c r="D157" s="81">
        <v>9</v>
      </c>
      <c r="E157" s="62" t="s">
        <v>800</v>
      </c>
      <c r="F157" s="62" t="s">
        <v>801</v>
      </c>
      <c r="G157" s="62" t="s">
        <v>805</v>
      </c>
    </row>
    <row r="158" spans="2:7" ht="16.05" customHeight="1" x14ac:dyDescent="0.25">
      <c r="B158" s="62" t="s">
        <v>806</v>
      </c>
      <c r="C158" s="62" t="s">
        <v>807</v>
      </c>
      <c r="D158" s="81">
        <v>0.15</v>
      </c>
      <c r="E158" s="62" t="s">
        <v>800</v>
      </c>
      <c r="F158" s="62" t="s">
        <v>801</v>
      </c>
      <c r="G158" s="62" t="s">
        <v>802</v>
      </c>
    </row>
    <row r="159" spans="2:7" ht="16.05" customHeight="1" x14ac:dyDescent="0.25">
      <c r="B159" s="62" t="s">
        <v>808</v>
      </c>
      <c r="C159" s="62" t="s">
        <v>809</v>
      </c>
      <c r="D159" s="81">
        <v>0.3</v>
      </c>
      <c r="E159" s="62" t="s">
        <v>800</v>
      </c>
      <c r="F159" s="62" t="s">
        <v>801</v>
      </c>
      <c r="G159" s="62" t="s">
        <v>802</v>
      </c>
    </row>
    <row r="160" spans="2:7" ht="16.05" customHeight="1" x14ac:dyDescent="0.25">
      <c r="B160" s="62" t="s">
        <v>810</v>
      </c>
      <c r="C160" s="62" t="s">
        <v>811</v>
      </c>
      <c r="D160" s="81">
        <v>2.5</v>
      </c>
      <c r="E160" s="62" t="s">
        <v>800</v>
      </c>
      <c r="F160" s="62" t="s">
        <v>801</v>
      </c>
      <c r="G160" s="62" t="s">
        <v>802</v>
      </c>
    </row>
    <row r="161" spans="2:7" ht="16.05" customHeight="1" x14ac:dyDescent="0.25">
      <c r="B161" s="62" t="s">
        <v>812</v>
      </c>
      <c r="C161" s="62" t="s">
        <v>813</v>
      </c>
      <c r="D161" s="81">
        <v>2</v>
      </c>
      <c r="E161" s="62" t="s">
        <v>800</v>
      </c>
      <c r="F161" s="62" t="s">
        <v>801</v>
      </c>
      <c r="G161" s="62" t="s">
        <v>814</v>
      </c>
    </row>
    <row r="162" spans="2:7" ht="16.05" customHeight="1" x14ac:dyDescent="0.25">
      <c r="B162" s="62" t="s">
        <v>815</v>
      </c>
      <c r="C162" s="62" t="s">
        <v>816</v>
      </c>
      <c r="D162" s="81">
        <v>12</v>
      </c>
      <c r="E162" s="62" t="s">
        <v>800</v>
      </c>
      <c r="F162" s="62" t="s">
        <v>801</v>
      </c>
      <c r="G162" s="62" t="s">
        <v>814</v>
      </c>
    </row>
    <row r="163" spans="2:7" ht="16.05" customHeight="1" x14ac:dyDescent="0.25">
      <c r="B163" s="62" t="s">
        <v>817</v>
      </c>
      <c r="C163" s="62" t="s">
        <v>818</v>
      </c>
      <c r="D163" s="81">
        <v>0.2</v>
      </c>
      <c r="E163" s="62" t="s">
        <v>800</v>
      </c>
      <c r="F163" s="62" t="s">
        <v>801</v>
      </c>
      <c r="G163" s="62" t="s">
        <v>814</v>
      </c>
    </row>
    <row r="164" spans="2:7" ht="16.05" customHeight="1" x14ac:dyDescent="0.25">
      <c r="B164" s="62" t="s">
        <v>819</v>
      </c>
      <c r="C164" s="62" t="s">
        <v>820</v>
      </c>
      <c r="D164" s="81">
        <v>1.2</v>
      </c>
      <c r="E164" s="62" t="s">
        <v>800</v>
      </c>
      <c r="F164" s="62" t="s">
        <v>801</v>
      </c>
      <c r="G164" s="62" t="s">
        <v>814</v>
      </c>
    </row>
    <row r="165" spans="2:7" ht="16.05" customHeight="1" x14ac:dyDescent="0.25">
      <c r="B165" s="62" t="s">
        <v>821</v>
      </c>
      <c r="C165" s="62" t="s">
        <v>822</v>
      </c>
      <c r="D165" s="81">
        <v>2</v>
      </c>
      <c r="E165" s="62" t="s">
        <v>800</v>
      </c>
      <c r="F165" s="62" t="s">
        <v>801</v>
      </c>
      <c r="G165" s="62" t="s">
        <v>823</v>
      </c>
    </row>
    <row r="166" spans="2:7" ht="16.05" customHeight="1" x14ac:dyDescent="0.25">
      <c r="B166" s="62" t="s">
        <v>824</v>
      </c>
      <c r="C166" s="62" t="s">
        <v>825</v>
      </c>
      <c r="D166" s="81">
        <v>10</v>
      </c>
      <c r="E166" s="62" t="s">
        <v>800</v>
      </c>
      <c r="F166" s="62" t="s">
        <v>801</v>
      </c>
      <c r="G166" s="62" t="s">
        <v>826</v>
      </c>
    </row>
    <row r="167" spans="2:7" ht="16.05" customHeight="1" x14ac:dyDescent="0.25">
      <c r="B167" s="62" t="s">
        <v>827</v>
      </c>
      <c r="C167" s="62" t="s">
        <v>828</v>
      </c>
      <c r="D167" s="81">
        <v>1</v>
      </c>
      <c r="E167" s="62" t="s">
        <v>800</v>
      </c>
      <c r="F167" s="62" t="s">
        <v>801</v>
      </c>
      <c r="G167" s="62" t="s">
        <v>829</v>
      </c>
    </row>
    <row r="168" spans="2:7" ht="16.05" customHeight="1" x14ac:dyDescent="0.25">
      <c r="B168" s="62" t="s">
        <v>830</v>
      </c>
      <c r="C168" s="62" t="s">
        <v>831</v>
      </c>
      <c r="D168" s="81">
        <v>5</v>
      </c>
      <c r="E168" s="62" t="s">
        <v>800</v>
      </c>
      <c r="F168" s="62" t="s">
        <v>801</v>
      </c>
      <c r="G168" s="62" t="s">
        <v>829</v>
      </c>
    </row>
    <row r="169" spans="2:7" ht="16.05" customHeight="1" x14ac:dyDescent="0.25">
      <c r="B169" s="62" t="s">
        <v>832</v>
      </c>
      <c r="C169" s="62" t="s">
        <v>833</v>
      </c>
      <c r="D169" s="81">
        <v>1.83</v>
      </c>
      <c r="E169" s="62" t="s">
        <v>800</v>
      </c>
      <c r="F169" s="62" t="s">
        <v>834</v>
      </c>
      <c r="G169" s="62" t="s">
        <v>835</v>
      </c>
    </row>
    <row r="170" spans="2:7" ht="16.05" customHeight="1" x14ac:dyDescent="0.25">
      <c r="B170" s="62" t="s">
        <v>836</v>
      </c>
      <c r="C170" s="62" t="s">
        <v>837</v>
      </c>
      <c r="D170" s="81">
        <v>10.33</v>
      </c>
      <c r="E170" s="62" t="s">
        <v>800</v>
      </c>
      <c r="F170" s="62" t="s">
        <v>834</v>
      </c>
      <c r="G170" s="62" t="s">
        <v>838</v>
      </c>
    </row>
    <row r="171" spans="2:7" ht="16.05" customHeight="1" x14ac:dyDescent="0.25">
      <c r="B171" s="62" t="s">
        <v>839</v>
      </c>
      <c r="C171" s="62" t="s">
        <v>840</v>
      </c>
      <c r="D171" s="81">
        <v>0.183</v>
      </c>
      <c r="E171" s="62" t="s">
        <v>800</v>
      </c>
      <c r="F171" s="62" t="s">
        <v>834</v>
      </c>
      <c r="G171" s="62" t="s">
        <v>841</v>
      </c>
    </row>
    <row r="172" spans="2:7" ht="16.05" customHeight="1" x14ac:dyDescent="0.25">
      <c r="B172" s="62" t="s">
        <v>842</v>
      </c>
      <c r="C172" s="62" t="s">
        <v>843</v>
      </c>
      <c r="D172" s="81">
        <v>0.5</v>
      </c>
      <c r="E172" s="62" t="s">
        <v>800</v>
      </c>
      <c r="F172" s="62" t="s">
        <v>834</v>
      </c>
      <c r="G172" s="62" t="s">
        <v>844</v>
      </c>
    </row>
    <row r="173" spans="2:7" ht="16.05" customHeight="1" x14ac:dyDescent="0.25">
      <c r="B173" s="62" t="s">
        <v>845</v>
      </c>
      <c r="C173" s="62" t="s">
        <v>846</v>
      </c>
      <c r="D173" s="81">
        <v>2.9</v>
      </c>
      <c r="E173" s="62" t="s">
        <v>800</v>
      </c>
      <c r="F173" s="62" t="s">
        <v>834</v>
      </c>
      <c r="G173" s="62" t="s">
        <v>847</v>
      </c>
    </row>
    <row r="174" spans="2:7" ht="16.05" customHeight="1" x14ac:dyDescent="0.25">
      <c r="B174" s="62" t="s">
        <v>848</v>
      </c>
      <c r="C174" s="62" t="s">
        <v>849</v>
      </c>
      <c r="D174" s="81">
        <v>-0.5</v>
      </c>
      <c r="E174" s="62" t="s">
        <v>403</v>
      </c>
      <c r="F174" s="62" t="s">
        <v>801</v>
      </c>
      <c r="G174" s="62" t="s">
        <v>850</v>
      </c>
    </row>
    <row r="175" spans="2:7" ht="16.05" customHeight="1" x14ac:dyDescent="0.25">
      <c r="B175" s="62" t="s">
        <v>851</v>
      </c>
      <c r="C175" s="62" t="s">
        <v>852</v>
      </c>
      <c r="D175" s="81">
        <v>-0.9</v>
      </c>
      <c r="E175" s="62" t="s">
        <v>403</v>
      </c>
      <c r="F175" s="62" t="s">
        <v>801</v>
      </c>
      <c r="G175" s="62" t="s">
        <v>853</v>
      </c>
    </row>
    <row r="176" spans="2:7" ht="16.05" customHeight="1" x14ac:dyDescent="0.25">
      <c r="B176" s="62" t="s">
        <v>854</v>
      </c>
      <c r="C176" s="62" t="s">
        <v>855</v>
      </c>
      <c r="D176" s="81">
        <v>263</v>
      </c>
      <c r="E176" s="62" t="s">
        <v>856</v>
      </c>
      <c r="F176" s="62" t="s">
        <v>801</v>
      </c>
      <c r="G176" s="62" t="s">
        <v>857</v>
      </c>
    </row>
    <row r="177" spans="2:7" ht="16.05" customHeight="1" x14ac:dyDescent="0.25">
      <c r="B177" s="62" t="s">
        <v>858</v>
      </c>
      <c r="C177" s="62" t="s">
        <v>859</v>
      </c>
      <c r="D177" s="81">
        <v>258</v>
      </c>
      <c r="E177" s="62" t="s">
        <v>860</v>
      </c>
      <c r="F177" s="62" t="s">
        <v>801</v>
      </c>
      <c r="G177" s="62" t="s">
        <v>857</v>
      </c>
    </row>
    <row r="178" spans="2:7" ht="16.05" customHeight="1" x14ac:dyDescent="0.25">
      <c r="B178" s="62" t="s">
        <v>861</v>
      </c>
      <c r="C178" s="62" t="s">
        <v>862</v>
      </c>
      <c r="D178" s="81">
        <v>32</v>
      </c>
      <c r="E178" s="62" t="s">
        <v>856</v>
      </c>
      <c r="F178" s="62" t="s">
        <v>801</v>
      </c>
      <c r="G178" s="62" t="s">
        <v>857</v>
      </c>
    </row>
    <row r="179" spans="2:7" ht="16.05" customHeight="1" x14ac:dyDescent="0.25">
      <c r="B179" s="62" t="s">
        <v>863</v>
      </c>
      <c r="C179" s="62" t="s">
        <v>864</v>
      </c>
      <c r="D179" s="81">
        <v>0.1</v>
      </c>
      <c r="E179" s="62" t="s">
        <v>403</v>
      </c>
      <c r="F179" s="62" t="s">
        <v>801</v>
      </c>
      <c r="G179" s="62" t="s">
        <v>865</v>
      </c>
    </row>
    <row r="180" spans="2:7" ht="16.05" customHeight="1" x14ac:dyDescent="0.25">
      <c r="B180" s="62" t="s">
        <v>866</v>
      </c>
      <c r="C180" s="62" t="s">
        <v>867</v>
      </c>
      <c r="D180" s="62" t="s">
        <v>868</v>
      </c>
      <c r="E180" s="62" t="s">
        <v>614</v>
      </c>
      <c r="F180" s="62" t="s">
        <v>416</v>
      </c>
      <c r="G180" s="62" t="s">
        <v>869</v>
      </c>
    </row>
    <row r="181" spans="2:7" ht="16.05" customHeight="1" x14ac:dyDescent="0.25"/>
    <row r="182" spans="2:7" ht="16.05" customHeight="1" x14ac:dyDescent="0.25">
      <c r="B182" s="59" t="s">
        <v>870</v>
      </c>
    </row>
    <row r="183" spans="2:7" ht="16.05" customHeight="1" x14ac:dyDescent="0.25">
      <c r="B183" s="60" t="s">
        <v>4</v>
      </c>
      <c r="C183" s="60" t="s">
        <v>446</v>
      </c>
      <c r="D183" s="60" t="s">
        <v>676</v>
      </c>
      <c r="E183" s="60" t="s">
        <v>677</v>
      </c>
    </row>
    <row r="184" spans="2:7" ht="16.05" customHeight="1" x14ac:dyDescent="0.25">
      <c r="B184" s="62" t="s">
        <v>871</v>
      </c>
      <c r="C184" s="62" t="s">
        <v>872</v>
      </c>
      <c r="D184" s="62" t="s">
        <v>873</v>
      </c>
      <c r="E184" s="62" t="s">
        <v>874</v>
      </c>
    </row>
    <row r="185" spans="2:7" ht="16.05" customHeight="1" x14ac:dyDescent="0.25">
      <c r="B185" s="62" t="s">
        <v>875</v>
      </c>
      <c r="C185" s="62" t="s">
        <v>876</v>
      </c>
      <c r="D185" s="62" t="s">
        <v>877</v>
      </c>
      <c r="E185" s="62" t="s">
        <v>878</v>
      </c>
    </row>
    <row r="186" spans="2:7" ht="16.05" customHeight="1" x14ac:dyDescent="0.25">
      <c r="B186" s="62" t="s">
        <v>879</v>
      </c>
      <c r="C186" s="62" t="s">
        <v>880</v>
      </c>
      <c r="D186" s="62" t="s">
        <v>881</v>
      </c>
      <c r="E186" s="62" t="s">
        <v>882</v>
      </c>
    </row>
    <row r="187" spans="2:7" ht="16.05" customHeight="1" x14ac:dyDescent="0.25"/>
    <row r="188" spans="2:7" ht="16.05" customHeight="1" x14ac:dyDescent="0.25">
      <c r="B188" s="29" t="s">
        <v>883</v>
      </c>
    </row>
    <row r="189" spans="2:7" ht="16.05" customHeight="1" x14ac:dyDescent="0.25">
      <c r="B189" s="60" t="s">
        <v>4</v>
      </c>
      <c r="C189" s="60" t="s">
        <v>5</v>
      </c>
      <c r="D189" s="60" t="s">
        <v>6</v>
      </c>
      <c r="E189" s="60" t="s">
        <v>393</v>
      </c>
      <c r="F189" s="60" t="s">
        <v>394</v>
      </c>
      <c r="G189" s="60" t="s">
        <v>7</v>
      </c>
    </row>
    <row r="190" spans="2:7" ht="16.05" customHeight="1" x14ac:dyDescent="0.25">
      <c r="B190" s="62" t="s">
        <v>884</v>
      </c>
      <c r="C190" s="62" t="s">
        <v>885</v>
      </c>
      <c r="D190" s="81">
        <v>0.25</v>
      </c>
      <c r="E190" s="62" t="s">
        <v>403</v>
      </c>
      <c r="F190" s="62" t="s">
        <v>449</v>
      </c>
      <c r="G190" s="62" t="s">
        <v>886</v>
      </c>
    </row>
    <row r="191" spans="2:7" ht="16.05" customHeight="1" x14ac:dyDescent="0.25">
      <c r="B191" s="62" t="s">
        <v>887</v>
      </c>
      <c r="C191" s="62" t="s">
        <v>888</v>
      </c>
      <c r="D191" s="81">
        <v>0.3</v>
      </c>
      <c r="E191" s="62" t="s">
        <v>403</v>
      </c>
      <c r="F191" s="62" t="s">
        <v>449</v>
      </c>
      <c r="G191" s="62" t="s">
        <v>889</v>
      </c>
    </row>
    <row r="192" spans="2:7" ht="16.05" customHeight="1" x14ac:dyDescent="0.25">
      <c r="B192" s="62" t="s">
        <v>890</v>
      </c>
      <c r="C192" s="62" t="s">
        <v>891</v>
      </c>
      <c r="D192" s="81">
        <f>1-D190-D191</f>
        <v>0.45</v>
      </c>
      <c r="E192" s="62" t="s">
        <v>403</v>
      </c>
      <c r="F192" s="62" t="s">
        <v>834</v>
      </c>
      <c r="G192" s="62" t="s">
        <v>892</v>
      </c>
    </row>
    <row r="193" spans="2:7" ht="16.05" customHeight="1" x14ac:dyDescent="0.25">
      <c r="B193" s="62" t="s">
        <v>893</v>
      </c>
      <c r="C193" s="62" t="s">
        <v>894</v>
      </c>
      <c r="D193" s="82">
        <v>25084</v>
      </c>
      <c r="E193" s="62" t="s">
        <v>895</v>
      </c>
      <c r="F193" s="62" t="s">
        <v>896</v>
      </c>
      <c r="G193" s="62" t="s">
        <v>897</v>
      </c>
    </row>
    <row r="194" spans="2:7" ht="16.05" customHeight="1" x14ac:dyDescent="0.25">
      <c r="B194" s="62" t="s">
        <v>898</v>
      </c>
      <c r="C194" s="62" t="s">
        <v>899</v>
      </c>
      <c r="D194" s="82">
        <v>1200</v>
      </c>
      <c r="E194" s="62" t="s">
        <v>895</v>
      </c>
      <c r="F194" s="62" t="s">
        <v>896</v>
      </c>
      <c r="G194" s="62" t="s">
        <v>900</v>
      </c>
    </row>
    <row r="195" spans="2:7" ht="16.05" customHeight="1" x14ac:dyDescent="0.25">
      <c r="B195" s="62" t="s">
        <v>901</v>
      </c>
      <c r="C195" s="62" t="s">
        <v>902</v>
      </c>
      <c r="D195" s="81">
        <v>0</v>
      </c>
      <c r="E195" s="62" t="s">
        <v>403</v>
      </c>
      <c r="F195" s="62" t="s">
        <v>541</v>
      </c>
      <c r="G195" s="62" t="s">
        <v>903</v>
      </c>
    </row>
    <row r="196" spans="2:7" ht="16.05" customHeight="1" x14ac:dyDescent="0.25">
      <c r="B196" s="62" t="s">
        <v>904</v>
      </c>
      <c r="C196" s="62" t="s">
        <v>905</v>
      </c>
      <c r="D196" s="82">
        <v>5</v>
      </c>
      <c r="E196" s="62" t="s">
        <v>719</v>
      </c>
      <c r="F196" s="62" t="s">
        <v>429</v>
      </c>
      <c r="G196" s="62" t="s">
        <v>906</v>
      </c>
    </row>
    <row r="197" spans="2:7" ht="16.05" customHeight="1" x14ac:dyDescent="0.25"/>
    <row r="198" spans="2:7" ht="16.05" customHeight="1" x14ac:dyDescent="0.25">
      <c r="B198" s="59" t="s">
        <v>907</v>
      </c>
    </row>
    <row r="199" spans="2:7" ht="16.05" customHeight="1" x14ac:dyDescent="0.25">
      <c r="B199" s="60" t="s">
        <v>4</v>
      </c>
      <c r="C199" s="60" t="s">
        <v>7</v>
      </c>
      <c r="D199" s="60" t="s">
        <v>6</v>
      </c>
      <c r="E199" s="60" t="s">
        <v>393</v>
      </c>
      <c r="F199" s="60" t="s">
        <v>394</v>
      </c>
      <c r="G199" s="60" t="s">
        <v>395</v>
      </c>
    </row>
    <row r="200" spans="2:7" ht="16.05" customHeight="1" x14ac:dyDescent="0.25">
      <c r="B200" s="62" t="s">
        <v>908</v>
      </c>
      <c r="C200" s="62" t="s">
        <v>909</v>
      </c>
      <c r="D200" s="65">
        <v>0.49880000000000002</v>
      </c>
      <c r="E200" s="64" t="s">
        <v>403</v>
      </c>
      <c r="F200" s="64" t="s">
        <v>399</v>
      </c>
      <c r="G200" s="64" t="s">
        <v>910</v>
      </c>
    </row>
    <row r="201" spans="2:7" ht="16.05" customHeight="1" x14ac:dyDescent="0.25">
      <c r="B201" s="62" t="s">
        <v>911</v>
      </c>
      <c r="C201" s="62" t="s">
        <v>912</v>
      </c>
      <c r="D201" s="65">
        <v>0.46100000000000002</v>
      </c>
      <c r="E201" s="64" t="s">
        <v>403</v>
      </c>
      <c r="F201" s="64" t="s">
        <v>399</v>
      </c>
      <c r="G201" s="64" t="s">
        <v>913</v>
      </c>
    </row>
    <row r="202" spans="2:7" ht="16.05" customHeight="1" x14ac:dyDescent="0.25">
      <c r="B202" s="62" t="s">
        <v>914</v>
      </c>
      <c r="C202" s="62" t="s">
        <v>915</v>
      </c>
      <c r="D202" s="65">
        <v>0.6885</v>
      </c>
      <c r="E202" s="64" t="s">
        <v>403</v>
      </c>
      <c r="F202" s="64" t="s">
        <v>416</v>
      </c>
      <c r="G202" s="64" t="s">
        <v>916</v>
      </c>
    </row>
    <row r="203" spans="2:7" ht="16.05" customHeight="1" x14ac:dyDescent="0.25"/>
    <row r="204" spans="2:7" ht="16.05" customHeight="1" x14ac:dyDescent="0.25">
      <c r="C204" s="58" t="s">
        <v>917</v>
      </c>
    </row>
    <row r="205" spans="2:7" ht="16.05" customHeight="1" x14ac:dyDescent="0.25"/>
    <row r="206" spans="2:7" ht="16.05" customHeight="1" x14ac:dyDescent="0.25">
      <c r="B206" s="59" t="s">
        <v>918</v>
      </c>
    </row>
    <row r="207" spans="2:7" ht="16.05" customHeight="1" x14ac:dyDescent="0.25">
      <c r="B207" s="60" t="s">
        <v>4</v>
      </c>
      <c r="C207" s="60" t="s">
        <v>5</v>
      </c>
      <c r="D207" s="60" t="s">
        <v>6</v>
      </c>
      <c r="E207" s="60" t="s">
        <v>393</v>
      </c>
      <c r="F207" s="60" t="s">
        <v>394</v>
      </c>
      <c r="G207" s="60" t="s">
        <v>395</v>
      </c>
    </row>
    <row r="208" spans="2:7" ht="16.05" customHeight="1" x14ac:dyDescent="0.25">
      <c r="B208" s="62" t="s">
        <v>919</v>
      </c>
      <c r="C208" s="62" t="s">
        <v>920</v>
      </c>
      <c r="D208" s="83">
        <f>(D156+D161+3)/3</f>
        <v>2.1666666666666665</v>
      </c>
      <c r="E208" s="64" t="s">
        <v>800</v>
      </c>
      <c r="F208" s="64" t="s">
        <v>834</v>
      </c>
      <c r="G208" s="64" t="s">
        <v>921</v>
      </c>
    </row>
    <row r="209" spans="2:7" ht="16.05" customHeight="1" x14ac:dyDescent="0.25">
      <c r="B209" s="62" t="s">
        <v>922</v>
      </c>
      <c r="C209" s="62" t="s">
        <v>923</v>
      </c>
      <c r="D209" s="83">
        <f>(D157+D162+15)/3</f>
        <v>12</v>
      </c>
      <c r="E209" s="64" t="s">
        <v>800</v>
      </c>
      <c r="F209" s="64" t="s">
        <v>834</v>
      </c>
      <c r="G209" s="64" t="s">
        <v>924</v>
      </c>
    </row>
  </sheetData>
  <mergeCells count="13">
    <mergeCell ref="B116:F116"/>
    <mergeCell ref="B122:F122"/>
    <mergeCell ref="B132:I132"/>
    <mergeCell ref="B58:I58"/>
    <mergeCell ref="B76:I76"/>
    <mergeCell ref="B90:I90"/>
    <mergeCell ref="B95:I95"/>
    <mergeCell ref="B105:I105"/>
    <mergeCell ref="B2:I2"/>
    <mergeCell ref="B3:I3"/>
    <mergeCell ref="B5:I5"/>
    <mergeCell ref="B21:I21"/>
    <mergeCell ref="B52:I52"/>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F3864"/>
    <pageSetUpPr fitToPage="1"/>
  </sheetPr>
  <dimension ref="B2:I74"/>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5" style="1" customWidth="1"/>
    <col min="7" max="7" width="58" style="1" customWidth="1"/>
    <col min="8" max="16384" width="8.6640625" style="1"/>
  </cols>
  <sheetData>
    <row r="2" spans="2:9" ht="16.05" customHeight="1" x14ac:dyDescent="0.25">
      <c r="B2" s="183" t="s">
        <v>925</v>
      </c>
      <c r="C2" s="183"/>
      <c r="D2" s="183"/>
      <c r="E2" s="183"/>
      <c r="F2" s="183"/>
      <c r="G2" s="183"/>
      <c r="H2" s="183"/>
      <c r="I2" s="183"/>
    </row>
    <row r="3" spans="2:9" ht="16.05" customHeight="1" x14ac:dyDescent="0.25">
      <c r="B3" s="184" t="s">
        <v>926</v>
      </c>
      <c r="C3" s="184"/>
      <c r="D3" s="184"/>
      <c r="E3" s="184"/>
      <c r="F3" s="184"/>
      <c r="G3" s="184"/>
      <c r="H3" s="184"/>
      <c r="I3" s="184"/>
    </row>
    <row r="4" spans="2:9" ht="16.05" customHeight="1" x14ac:dyDescent="0.25"/>
    <row r="5" spans="2:9" ht="16.05" customHeight="1" x14ac:dyDescent="0.25">
      <c r="B5" s="185" t="s">
        <v>927</v>
      </c>
      <c r="C5" s="185"/>
      <c r="D5" s="185"/>
      <c r="E5" s="185"/>
      <c r="F5" s="185"/>
      <c r="G5" s="185"/>
      <c r="H5" s="185"/>
      <c r="I5" s="185"/>
    </row>
    <row r="6" spans="2:9" ht="16.05" customHeight="1" x14ac:dyDescent="0.25">
      <c r="B6" s="60" t="s">
        <v>4</v>
      </c>
      <c r="C6" s="60" t="s">
        <v>155</v>
      </c>
      <c r="D6" s="60" t="s">
        <v>23</v>
      </c>
      <c r="E6" s="60" t="s">
        <v>24</v>
      </c>
      <c r="F6" s="60" t="s">
        <v>25</v>
      </c>
      <c r="G6" s="60" t="s">
        <v>393</v>
      </c>
    </row>
    <row r="7" spans="2:9" ht="16.05" customHeight="1" x14ac:dyDescent="0.25">
      <c r="B7" s="62" t="s">
        <v>928</v>
      </c>
      <c r="C7" s="62" t="s">
        <v>543</v>
      </c>
      <c r="D7" s="84">
        <f>'3. Workings'!D12</f>
        <v>0.2</v>
      </c>
      <c r="E7" s="84">
        <f>'3. Workings'!E12</f>
        <v>0.6</v>
      </c>
      <c r="F7" s="84">
        <f>'3. Workings'!F12</f>
        <v>1</v>
      </c>
      <c r="G7" s="62" t="s">
        <v>403</v>
      </c>
    </row>
    <row r="8" spans="2:9" ht="16.05" customHeight="1" x14ac:dyDescent="0.25">
      <c r="B8" s="62" t="s">
        <v>929</v>
      </c>
      <c r="C8" s="62" t="s">
        <v>930</v>
      </c>
      <c r="D8" s="67">
        <f>'3. Workings'!D14</f>
        <v>4571.7898260740749</v>
      </c>
      <c r="E8" s="67">
        <f>'3. Workings'!E14</f>
        <v>13715.369478222223</v>
      </c>
      <c r="F8" s="67">
        <f>'3. Workings'!F14</f>
        <v>22858.949130370373</v>
      </c>
      <c r="G8" s="62" t="s">
        <v>931</v>
      </c>
    </row>
    <row r="9" spans="2:9" ht="16.05" customHeight="1" x14ac:dyDescent="0.25">
      <c r="B9" s="85" t="s">
        <v>932</v>
      </c>
      <c r="C9" s="85" t="s">
        <v>933</v>
      </c>
      <c r="D9" s="86">
        <f>'3. Workings'!D23</f>
        <v>2.7100000000000004</v>
      </c>
      <c r="E9" s="86">
        <f>'3. Workings'!E23</f>
        <v>2.7100000000000004</v>
      </c>
      <c r="F9" s="86">
        <f>'3. Workings'!F23</f>
        <v>2.7100000000000004</v>
      </c>
      <c r="G9" s="85" t="s">
        <v>474</v>
      </c>
    </row>
    <row r="10" spans="2:9" ht="16.05" customHeight="1" x14ac:dyDescent="0.25">
      <c r="B10" s="85" t="s">
        <v>934</v>
      </c>
      <c r="C10" s="85" t="s">
        <v>935</v>
      </c>
      <c r="D10" s="86">
        <f>'3. Workings'!D24</f>
        <v>8.3820000000000014</v>
      </c>
      <c r="E10" s="86">
        <f>'3. Workings'!E24</f>
        <v>5.5460000000000003</v>
      </c>
      <c r="F10" s="86">
        <f>'3. Workings'!F24</f>
        <v>2.7100000000000004</v>
      </c>
      <c r="G10" s="85" t="s">
        <v>474</v>
      </c>
    </row>
    <row r="11" spans="2:9" ht="16.05" customHeight="1" x14ac:dyDescent="0.25">
      <c r="B11" s="85" t="s">
        <v>936</v>
      </c>
      <c r="C11" s="85" t="s">
        <v>937</v>
      </c>
      <c r="D11" s="87">
        <f>'3. Workings'!D26</f>
        <v>0.14469387755102031</v>
      </c>
      <c r="E11" s="87">
        <f>'3. Workings'!E26</f>
        <v>0.43408163265306121</v>
      </c>
      <c r="F11" s="87">
        <f>'3. Workings'!F26</f>
        <v>0.72346938775510194</v>
      </c>
      <c r="G11" s="85" t="s">
        <v>938</v>
      </c>
    </row>
    <row r="12" spans="2:9" ht="16.05" customHeight="1" x14ac:dyDescent="0.25">
      <c r="B12" s="62" t="s">
        <v>939</v>
      </c>
      <c r="C12" s="62" t="s">
        <v>940</v>
      </c>
      <c r="D12" s="83">
        <f>'3. Workings'!D19</f>
        <v>1.23</v>
      </c>
      <c r="E12" s="83">
        <f>'3. Workings'!E19</f>
        <v>1.23</v>
      </c>
      <c r="F12" s="83">
        <f>'3. Workings'!F19</f>
        <v>1.23</v>
      </c>
      <c r="G12" s="62" t="s">
        <v>452</v>
      </c>
    </row>
    <row r="13" spans="2:9" ht="16.05" customHeight="1" x14ac:dyDescent="0.25">
      <c r="B13" s="62" t="s">
        <v>941</v>
      </c>
      <c r="C13" s="62" t="s">
        <v>942</v>
      </c>
      <c r="D13" s="88">
        <f>'3. Workings'!D36</f>
        <v>15.359972213740338</v>
      </c>
      <c r="E13" s="88">
        <f>'3. Workings'!E36</f>
        <v>47.210611701005661</v>
      </c>
      <c r="F13" s="88">
        <f>'3. Workings'!F36</f>
        <v>80.568844601317153</v>
      </c>
      <c r="G13" s="62" t="s">
        <v>398</v>
      </c>
    </row>
    <row r="14" spans="2:9" ht="16.05" customHeight="1" x14ac:dyDescent="0.25">
      <c r="B14" s="62" t="s">
        <v>943</v>
      </c>
      <c r="C14" s="62" t="s">
        <v>944</v>
      </c>
      <c r="D14" s="88">
        <f>'3. Workings'!D65</f>
        <v>2.5098821779084224</v>
      </c>
      <c r="E14" s="88">
        <f>'3. Workings'!E65</f>
        <v>3.9006065337252656</v>
      </c>
      <c r="F14" s="88">
        <f>'3. Workings'!F65</f>
        <v>5.2913308895421096</v>
      </c>
      <c r="G14" s="62" t="s">
        <v>398</v>
      </c>
    </row>
    <row r="15" spans="2:9" ht="16.05" customHeight="1" x14ac:dyDescent="0.25">
      <c r="B15" s="89" t="s">
        <v>945</v>
      </c>
      <c r="C15" s="89" t="s">
        <v>946</v>
      </c>
      <c r="D15" s="90">
        <f>'3. Workings'!D71</f>
        <v>12.850090035831915</v>
      </c>
      <c r="E15" s="90">
        <f>'3. Workings'!E71</f>
        <v>43.310005167280394</v>
      </c>
      <c r="F15" s="90">
        <f>'3. Workings'!F71</f>
        <v>75.277513711775043</v>
      </c>
      <c r="G15" s="89" t="s">
        <v>398</v>
      </c>
    </row>
    <row r="16" spans="2:9" ht="16.05" customHeight="1" x14ac:dyDescent="0.25">
      <c r="B16" s="62" t="s">
        <v>947</v>
      </c>
      <c r="C16" s="62" t="s">
        <v>948</v>
      </c>
      <c r="D16" s="88">
        <f>'3. Workings'!D72</f>
        <v>1.0708408363193263</v>
      </c>
      <c r="E16" s="88">
        <f>'3. Workings'!E72</f>
        <v>3.609167097273366</v>
      </c>
      <c r="F16" s="88">
        <f>'3. Workings'!F72</f>
        <v>6.2731261426479206</v>
      </c>
      <c r="G16" s="62" t="s">
        <v>398</v>
      </c>
    </row>
    <row r="17" spans="2:9" ht="16.05" customHeight="1" x14ac:dyDescent="0.25">
      <c r="B17" s="62" t="s">
        <v>949</v>
      </c>
      <c r="C17" s="62" t="s">
        <v>950</v>
      </c>
      <c r="D17" s="88">
        <f>'3. Workings'!D73</f>
        <v>9.8904698000000018</v>
      </c>
      <c r="E17" s="88">
        <f>'3. Workings'!E73</f>
        <v>9.8904698000000018</v>
      </c>
      <c r="F17" s="88">
        <f>'3. Workings'!F73</f>
        <v>9.8904698000000018</v>
      </c>
      <c r="G17" s="62" t="s">
        <v>398</v>
      </c>
    </row>
    <row r="18" spans="2:9" ht="16.05" customHeight="1" x14ac:dyDescent="0.25">
      <c r="B18" s="62" t="s">
        <v>951</v>
      </c>
      <c r="C18" s="62" t="s">
        <v>952</v>
      </c>
      <c r="D18" s="83">
        <f>'3. Workings'!D74</f>
        <v>9.2361716742100874</v>
      </c>
      <c r="E18" s="83">
        <f>'3. Workings'!E74</f>
        <v>2.7403745887720188</v>
      </c>
      <c r="F18" s="83">
        <f>'3. Workings'!F74</f>
        <v>1.5766413069170615</v>
      </c>
      <c r="G18" s="62" t="s">
        <v>533</v>
      </c>
    </row>
    <row r="19" spans="2:9" ht="16.05" customHeight="1" x14ac:dyDescent="0.25">
      <c r="B19" s="73" t="s">
        <v>953</v>
      </c>
      <c r="C19" s="73" t="s">
        <v>954</v>
      </c>
      <c r="D19" s="91">
        <f>'3. Workings'!D96</f>
        <v>28.634321387538449</v>
      </c>
      <c r="E19" s="91">
        <f>'3. Workings'!E96</f>
        <v>7.3884554138762324</v>
      </c>
      <c r="F19" s="91">
        <f>'3. Workings'!F96</f>
        <v>4.2414316800059826</v>
      </c>
      <c r="G19" s="73" t="s">
        <v>533</v>
      </c>
    </row>
    <row r="20" spans="2:9" ht="16.05" customHeight="1" x14ac:dyDescent="0.25">
      <c r="B20" s="73" t="s">
        <v>955</v>
      </c>
      <c r="C20" s="73" t="s">
        <v>956</v>
      </c>
      <c r="D20" s="91">
        <f>'3. Workings'!D97</f>
        <v>2286.0023875232787</v>
      </c>
      <c r="E20" s="91">
        <f>'3. Workings'!E97</f>
        <v>31.358535725044565</v>
      </c>
      <c r="F20" s="91">
        <f>'3. Workings'!F97</f>
        <v>15.787551762102826</v>
      </c>
      <c r="G20" s="73" t="s">
        <v>533</v>
      </c>
    </row>
    <row r="21" spans="2:9" ht="16.05" customHeight="1" x14ac:dyDescent="0.25">
      <c r="B21" s="85" t="s">
        <v>957</v>
      </c>
      <c r="C21" s="85" t="s">
        <v>958</v>
      </c>
      <c r="D21" s="86">
        <f>'3. Workings'!D82</f>
        <v>0.76499124762461923</v>
      </c>
      <c r="E21" s="86">
        <f>'3. Workings'!E82</f>
        <v>2.5826285166934659</v>
      </c>
      <c r="F21" s="86">
        <f>'3. Workings'!F82</f>
        <v>4.491377252428979</v>
      </c>
      <c r="G21" s="85" t="s">
        <v>494</v>
      </c>
    </row>
    <row r="22" spans="2:9" ht="16.05" customHeight="1" x14ac:dyDescent="0.25">
      <c r="B22" s="62" t="s">
        <v>959</v>
      </c>
      <c r="C22" s="62" t="s">
        <v>960</v>
      </c>
      <c r="D22" s="83">
        <f>'3. Workings'!D85</f>
        <v>0.12402646330800789</v>
      </c>
      <c r="E22" s="83">
        <f>'3. Workings'!E85</f>
        <v>0.4187162689226937</v>
      </c>
      <c r="F22" s="83">
        <f>'3. Workings'!F85</f>
        <v>0.72817778991655624</v>
      </c>
      <c r="G22" s="62" t="s">
        <v>494</v>
      </c>
    </row>
    <row r="23" spans="2:9" ht="16.05" customHeight="1" x14ac:dyDescent="0.25">
      <c r="B23" s="62" t="s">
        <v>961</v>
      </c>
      <c r="C23" s="62" t="s">
        <v>962</v>
      </c>
      <c r="D23" s="88">
        <f>'4. Forecast'!D47</f>
        <v>32.217718037065048</v>
      </c>
      <c r="E23" s="88">
        <f>'4. Forecast'!E47</f>
        <v>111.49046905053994</v>
      </c>
      <c r="F23" s="88">
        <f>'4. Forecast'!F47</f>
        <v>194.73061645812788</v>
      </c>
      <c r="G23" s="62" t="s">
        <v>398</v>
      </c>
    </row>
    <row r="24" spans="2:9" ht="16.05" customHeight="1" x14ac:dyDescent="0.25">
      <c r="B24" s="62" t="s">
        <v>963</v>
      </c>
      <c r="C24" s="62" t="s">
        <v>964</v>
      </c>
      <c r="D24" s="88">
        <f>'4. Forecast'!D49</f>
        <v>14.917559502756596</v>
      </c>
      <c r="E24" s="88">
        <f>'4. Forecast'!E49</f>
        <v>76.277312801449369</v>
      </c>
      <c r="F24" s="88">
        <f>'4. Forecast'!F49</f>
        <v>140.712600315456</v>
      </c>
      <c r="G24" s="62" t="s">
        <v>398</v>
      </c>
    </row>
    <row r="25" spans="2:9" ht="16.05" customHeight="1" x14ac:dyDescent="0.25">
      <c r="B25" s="89" t="s">
        <v>965</v>
      </c>
      <c r="C25" s="89" t="s">
        <v>966</v>
      </c>
      <c r="D25" s="92">
        <f>'4. Forecast'!D50</f>
        <v>27.213630202605518</v>
      </c>
      <c r="E25" s="92">
        <f>'4. Forecast'!E50</f>
        <v>16.842970651161341</v>
      </c>
      <c r="F25" s="92">
        <f>'4. Forecast'!F50</f>
        <v>13.832939843950562</v>
      </c>
      <c r="G25" s="89" t="s">
        <v>533</v>
      </c>
    </row>
    <row r="26" spans="2:9" ht="16.05" customHeight="1" x14ac:dyDescent="0.25"/>
    <row r="27" spans="2:9" ht="16.05" customHeight="1" x14ac:dyDescent="0.25">
      <c r="B27" s="185" t="s">
        <v>967</v>
      </c>
      <c r="C27" s="185"/>
      <c r="D27" s="185"/>
      <c r="E27" s="185"/>
      <c r="F27" s="185"/>
      <c r="G27" s="185"/>
      <c r="H27" s="185"/>
      <c r="I27" s="185"/>
    </row>
    <row r="28" spans="2:9" ht="16.05" customHeight="1" x14ac:dyDescent="0.25">
      <c r="B28" s="60" t="s">
        <v>4</v>
      </c>
      <c r="C28" s="60" t="s">
        <v>968</v>
      </c>
      <c r="D28" s="60" t="s">
        <v>23</v>
      </c>
      <c r="E28" s="60" t="s">
        <v>24</v>
      </c>
      <c r="F28" s="60" t="s">
        <v>25</v>
      </c>
      <c r="G28" s="60" t="s">
        <v>969</v>
      </c>
    </row>
    <row r="29" spans="2:9" ht="16.05" customHeight="1" x14ac:dyDescent="0.25">
      <c r="B29" s="62" t="s">
        <v>970</v>
      </c>
      <c r="C29" s="62" t="s">
        <v>971</v>
      </c>
      <c r="D29" s="88">
        <f>'3. Workings'!D30</f>
        <v>7.5763700997699575</v>
      </c>
      <c r="E29" s="88">
        <f>'3. Workings'!E30</f>
        <v>23.741304566802668</v>
      </c>
      <c r="F29" s="88">
        <f>'3. Workings'!F30</f>
        <v>41.255831390492453</v>
      </c>
      <c r="G29" s="62" t="s">
        <v>972</v>
      </c>
    </row>
    <row r="30" spans="2:9" ht="16.05" customHeight="1" x14ac:dyDescent="0.25">
      <c r="B30" s="62" t="s">
        <v>973</v>
      </c>
      <c r="C30" s="62" t="s">
        <v>974</v>
      </c>
      <c r="D30" s="88">
        <f>'3. Workings'!D31</f>
        <v>3.6836594972298959</v>
      </c>
      <c r="E30" s="88">
        <f>'3. Workings'!E31</f>
        <v>11.050978491689687</v>
      </c>
      <c r="F30" s="88">
        <f>'3. Workings'!F31</f>
        <v>18.418297486149477</v>
      </c>
      <c r="G30" s="62" t="s">
        <v>975</v>
      </c>
    </row>
    <row r="31" spans="2:9" ht="16.05" customHeight="1" x14ac:dyDescent="0.25">
      <c r="B31" s="85" t="s">
        <v>976</v>
      </c>
      <c r="C31" s="85" t="s">
        <v>977</v>
      </c>
      <c r="D31" s="93">
        <f>'3. Workings'!D32</f>
        <v>2.0464774984610536</v>
      </c>
      <c r="E31" s="93">
        <f>'3. Workings'!E32</f>
        <v>6.1394324953831605</v>
      </c>
      <c r="F31" s="93">
        <f>'3. Workings'!F32</f>
        <v>10.232387492305266</v>
      </c>
      <c r="G31" s="85" t="s">
        <v>975</v>
      </c>
    </row>
    <row r="32" spans="2:9" ht="16.05" customHeight="1" x14ac:dyDescent="0.25">
      <c r="B32" s="85" t="s">
        <v>978</v>
      </c>
      <c r="C32" s="85" t="s">
        <v>979</v>
      </c>
      <c r="D32" s="93">
        <f>'3. Workings'!D33</f>
        <v>2.0984515301680005</v>
      </c>
      <c r="E32" s="93">
        <f>'3. Workings'!E33</f>
        <v>6.2953545905040009</v>
      </c>
      <c r="F32" s="93">
        <f>'3. Workings'!F33</f>
        <v>10.492257650840001</v>
      </c>
      <c r="G32" s="85" t="s">
        <v>975</v>
      </c>
    </row>
    <row r="33" spans="2:9" ht="16.05" customHeight="1" x14ac:dyDescent="0.25">
      <c r="B33" s="62" t="s">
        <v>980</v>
      </c>
      <c r="C33" s="62" t="s">
        <v>981</v>
      </c>
      <c r="D33" s="88">
        <f>'3. Workings'!D34</f>
        <v>0.19201517269511115</v>
      </c>
      <c r="E33" s="88">
        <f>'3. Workings'!E34</f>
        <v>0.57604551808533344</v>
      </c>
      <c r="F33" s="88">
        <f>'3. Workings'!F34</f>
        <v>0.96007586347555574</v>
      </c>
      <c r="G33" s="62" t="s">
        <v>982</v>
      </c>
    </row>
    <row r="34" spans="2:9" ht="16.05" customHeight="1" x14ac:dyDescent="0.25">
      <c r="B34" s="62" t="s">
        <v>983</v>
      </c>
      <c r="C34" s="62" t="s">
        <v>984</v>
      </c>
      <c r="D34" s="88">
        <f>'3. Workings'!D35</f>
        <v>-0.23700158458368006</v>
      </c>
      <c r="E34" s="88">
        <f>'3. Workings'!E35</f>
        <v>-0.59250396145920003</v>
      </c>
      <c r="F34" s="88">
        <f>'3. Workings'!F35</f>
        <v>-0.79000528194560016</v>
      </c>
      <c r="G34" s="62" t="s">
        <v>972</v>
      </c>
    </row>
    <row r="35" spans="2:9" ht="16.05" customHeight="1" x14ac:dyDescent="0.25">
      <c r="B35" s="89" t="s">
        <v>985</v>
      </c>
      <c r="C35" s="89" t="s">
        <v>986</v>
      </c>
      <c r="D35" s="90">
        <f>'3. Workings'!D36</f>
        <v>15.359972213740338</v>
      </c>
      <c r="E35" s="90">
        <f>'3. Workings'!E36</f>
        <v>47.210611701005661</v>
      </c>
      <c r="F35" s="90">
        <f>'3. Workings'!F36</f>
        <v>80.568844601317153</v>
      </c>
      <c r="G35" s="89"/>
    </row>
    <row r="36" spans="2:9" ht="16.05" customHeight="1" x14ac:dyDescent="0.25">
      <c r="C36" s="58" t="s">
        <v>987</v>
      </c>
    </row>
    <row r="37" spans="2:9" ht="16.05" customHeight="1" x14ac:dyDescent="0.25"/>
    <row r="38" spans="2:9" ht="16.05" customHeight="1" x14ac:dyDescent="0.25">
      <c r="B38" s="185" t="s">
        <v>988</v>
      </c>
      <c r="C38" s="185"/>
      <c r="D38" s="185"/>
      <c r="E38" s="185"/>
      <c r="F38" s="185"/>
      <c r="G38" s="185"/>
      <c r="H38" s="185"/>
      <c r="I38" s="185"/>
    </row>
    <row r="39" spans="2:9" ht="16.05" customHeight="1" x14ac:dyDescent="0.25">
      <c r="B39" s="60" t="s">
        <v>4</v>
      </c>
      <c r="C39" s="60" t="s">
        <v>446</v>
      </c>
      <c r="D39" s="60" t="s">
        <v>6</v>
      </c>
      <c r="E39" s="60" t="s">
        <v>394</v>
      </c>
      <c r="F39" s="60" t="s">
        <v>989</v>
      </c>
      <c r="G39" s="60" t="s">
        <v>103</v>
      </c>
    </row>
    <row r="40" spans="2:9" ht="16.05" customHeight="1" x14ac:dyDescent="0.25">
      <c r="B40" s="62" t="s">
        <v>396</v>
      </c>
      <c r="C40" s="61" t="str">
        <f>'1. Assumptions and Sources'!$C$7</f>
        <v>Motor OD GDPI, FY2025-26</v>
      </c>
      <c r="D40" s="63">
        <f>'1. Assumptions and Sources'!$D$7</f>
        <v>3317.3</v>
      </c>
      <c r="E40" s="64" t="str">
        <f>'1. Assumptions and Sources'!$F$7</f>
        <v>TIER 1 FILED</v>
      </c>
      <c r="F40" s="64" t="str">
        <f>'1. Assumptions and Sources'!$G$7</f>
        <v>GI Council segment-wise GDPI filings, Jun'25-Jun'26</v>
      </c>
      <c r="G40" s="62" t="s">
        <v>990</v>
      </c>
    </row>
    <row r="41" spans="2:9" ht="16.05" customHeight="1" x14ac:dyDescent="0.25">
      <c r="B41" s="62" t="s">
        <v>401</v>
      </c>
      <c r="C41" s="61" t="str">
        <f>'1. Assumptions and Sources'!$C$8</f>
        <v>Net earned premium / GDPI</v>
      </c>
      <c r="D41" s="66">
        <f>'1. Assumptions and Sources'!$D$8</f>
        <v>0.49880000000000002</v>
      </c>
      <c r="E41" s="64" t="str">
        <f>'1. Assumptions and Sources'!$F$8</f>
        <v>TIER 1 FILED</v>
      </c>
      <c r="F41" s="64" t="str">
        <f>'1. Assumptions and Sources'!$G$8</f>
        <v>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v>
      </c>
      <c r="G41" s="62" t="s">
        <v>991</v>
      </c>
    </row>
    <row r="42" spans="2:9" ht="16.05" customHeight="1" x14ac:dyDescent="0.25">
      <c r="B42" s="62" t="s">
        <v>405</v>
      </c>
      <c r="C42" s="61" t="str">
        <f>'1. Assumptions and Sources'!$C$9</f>
        <v>Net incurred claims ratio</v>
      </c>
      <c r="D42" s="66">
        <f>'1. Assumptions and Sources'!$D$9</f>
        <v>0.746</v>
      </c>
      <c r="E42" s="64" t="str">
        <f>'1. Assumptions and Sources'!$F$9</f>
        <v>TIER 1 FILED</v>
      </c>
      <c r="F42" s="64" t="str">
        <f>'1. Assumptions and Sources'!$G$9</f>
        <v>IRDAI Financial Highlights FY24-25, up 0.8 pp</v>
      </c>
      <c r="G42" s="62" t="s">
        <v>992</v>
      </c>
    </row>
    <row r="43" spans="2:9" ht="16.05" customHeight="1" x14ac:dyDescent="0.25">
      <c r="B43" s="62" t="s">
        <v>435</v>
      </c>
      <c r="C43" s="61" t="str">
        <f>'1. Assumptions and Sources'!$C$17</f>
        <v>IRDAI surveyor exemption threshold</v>
      </c>
      <c r="D43" s="67">
        <f>'1. Assumptions and Sources'!$D$17</f>
        <v>50000</v>
      </c>
      <c r="E43" s="64" t="str">
        <f>'1. Assumptions and Sources'!$F$17</f>
        <v>TIER 1</v>
      </c>
      <c r="F43" s="64" t="str">
        <f>'1. Assumptions and Sources'!$G$17</f>
        <v>Master Circular on Protection of Policyholders' Interests, 2024</v>
      </c>
      <c r="G43" s="62" t="s">
        <v>993</v>
      </c>
    </row>
    <row r="44" spans="2:9" ht="16.05" customHeight="1" x14ac:dyDescent="0.25">
      <c r="B44" s="62" t="s">
        <v>422</v>
      </c>
      <c r="C44" s="61" t="str">
        <f>'1. Assumptions and Sources'!$C$14</f>
        <v>FX rate</v>
      </c>
      <c r="D44" s="63">
        <f>'1. Assumptions and Sources'!$D$14</f>
        <v>95.3</v>
      </c>
      <c r="E44" s="64" t="str">
        <f>'1. Assumptions and Sources'!$F$14</f>
        <v>Market</v>
      </c>
      <c r="F44" s="64" t="str">
        <f>'1. Assumptions and Sources'!$G$14</f>
        <v>Spot, August 2026</v>
      </c>
      <c r="G44" s="62" t="s">
        <v>994</v>
      </c>
    </row>
    <row r="45" spans="2:9" ht="16.05" customHeight="1" x14ac:dyDescent="0.25">
      <c r="B45" s="62" t="s">
        <v>447</v>
      </c>
      <c r="C45" s="61" t="str">
        <f>'1. Assumptions and Sources'!$C$23</f>
        <v>Average claim size</v>
      </c>
      <c r="D45" s="67">
        <f>'1. Assumptions and Sources'!$D$23</f>
        <v>45000</v>
      </c>
      <c r="E45" s="64" t="str">
        <f>'1. Assumptions and Sources'!$F$23</f>
        <v>TIER 4</v>
      </c>
      <c r="F45" s="64" t="str">
        <f>'1. Assumptions and Sources'!$G$23</f>
        <v>Conservative, and sits inside the Rs 50,000 surveyor corridor. A lower figure would mean more claims and more benefit.</v>
      </c>
      <c r="G45" s="62" t="s">
        <v>995</v>
      </c>
    </row>
    <row r="46" spans="2:9" ht="16.05" customHeight="1" x14ac:dyDescent="0.25">
      <c r="B46" s="62" t="s">
        <v>451</v>
      </c>
      <c r="C46" s="61" t="str">
        <f>'1. Assumptions and Sources'!$C$24</f>
        <v>Manual touches per claim today</v>
      </c>
      <c r="D46" s="67">
        <f>'1. Assumptions and Sources'!$D$24</f>
        <v>7</v>
      </c>
      <c r="E46" s="64" t="str">
        <f>'1. Assumptions and Sources'!$F$24</f>
        <v>TIER 4</v>
      </c>
      <c r="F46" s="64" t="str">
        <f>'1. Assumptions and Sources'!$G$24</f>
        <v>Workflow mapping. The largest single driver of the labour line, and confirmed by data request 1.</v>
      </c>
      <c r="G46" s="62" t="s">
        <v>996</v>
      </c>
    </row>
    <row r="47" spans="2:9" ht="16.05" customHeight="1" x14ac:dyDescent="0.25">
      <c r="B47" s="62" t="s">
        <v>454</v>
      </c>
      <c r="C47" s="61" t="str">
        <f>'1. Assumptions and Sources'!$C$25</f>
        <v>Green lane share</v>
      </c>
      <c r="D47" s="84">
        <f>'1. Assumptions and Sources'!$D$25</f>
        <v>0.65</v>
      </c>
      <c r="E47" s="64" t="str">
        <f>'1. Assumptions and Sources'!$F$25</f>
        <v>TIER 2</v>
      </c>
      <c r="F47" s="64" t="str">
        <f>'1. Assumptions and Sources'!$G$25</f>
        <v>Auto-settle. Clean docs, intact EXIF, no synthetic flags.</v>
      </c>
      <c r="G47" s="62" t="s">
        <v>997</v>
      </c>
    </row>
    <row r="48" spans="2:9" ht="16.05" customHeight="1" x14ac:dyDescent="0.25">
      <c r="B48" s="62" t="s">
        <v>485</v>
      </c>
      <c r="C48" s="61" t="str">
        <f>'1. Assumptions and Sources'!$C$35</f>
        <v>Fraud detection rate (recall), today</v>
      </c>
      <c r="D48" s="66">
        <f>'1. Assumptions and Sources'!$D$35</f>
        <v>0.62</v>
      </c>
      <c r="E48" s="64" t="str">
        <f>'1. Assumptions and Sources'!$F$35</f>
        <v>TIER 4</v>
      </c>
      <c r="F48" s="64" t="str">
        <f>'1. Assumptions and Sources'!$G$35</f>
        <v>Share of fraudulent claims the existing rule-based engine currently catches.</v>
      </c>
      <c r="G48" s="62" t="s">
        <v>998</v>
      </c>
    </row>
    <row r="49" spans="2:9" ht="16.05" customHeight="1" x14ac:dyDescent="0.25">
      <c r="B49" s="62" t="s">
        <v>488</v>
      </c>
      <c r="C49" s="61" t="str">
        <f>'1. Assumptions and Sources'!$C$36</f>
        <v>Fraud detection rate (recall), TARGET</v>
      </c>
      <c r="D49" s="66">
        <f>'1. Assumptions and Sources'!$D$36</f>
        <v>0.9</v>
      </c>
      <c r="E49" s="64" t="str">
        <f>'1. Assumptions and Sources'!$F$36</f>
        <v>TARGET</v>
      </c>
      <c r="F49" s="64" t="str">
        <f>'1. Assumptions and Sources'!$G$36</f>
        <v>A target for the share of fraudulent claims caught. Published graph-AI lift runs +10 to 20 pp against the +28 pp modelled here, which is why F-02 tests an 82% landing and Sheet 8 runs the full curve.</v>
      </c>
      <c r="G49" s="62" t="s">
        <v>999</v>
      </c>
    </row>
    <row r="50" spans="2:9" ht="16.05" customHeight="1" x14ac:dyDescent="0.25">
      <c r="B50" s="62" t="s">
        <v>499</v>
      </c>
      <c r="C50" s="61" t="str">
        <f>'1. Assumptions and Sources'!$C$39</f>
        <v>Fraud leakage pool, % of claims value</v>
      </c>
      <c r="D50" s="68">
        <f>'1. Assumptions and Sources'!$D$39</f>
        <v>3.15E-2</v>
      </c>
      <c r="E50" s="64" t="str">
        <f>'1. Assumptions and Sources'!$F$39</f>
        <v>TIER 2 PROXY</v>
      </c>
      <c r="F50" s="64" t="str">
        <f>'1. Assumptions and Sources'!$G$39</f>
        <v>Derived from the 8 to 10 per cent industry fraud and waste benchmark, applied to motor as a proxy. See H-01.</v>
      </c>
      <c r="G50" s="62" t="s">
        <v>1000</v>
      </c>
    </row>
    <row r="51" spans="2:9" ht="16.05" customHeight="1" x14ac:dyDescent="0.25">
      <c r="B51" s="62" t="s">
        <v>503</v>
      </c>
      <c r="C51" s="61" t="str">
        <f>'1. Assumptions and Sources'!$C$40</f>
        <v>Synthetic-media fraud, % of claims value</v>
      </c>
      <c r="D51" s="66">
        <f>'1. Assumptions and Sources'!$D$40</f>
        <v>0.01</v>
      </c>
      <c r="E51" s="64" t="str">
        <f>'1. Assumptions and Sources'!$F$40</f>
        <v>TIER 4</v>
      </c>
      <c r="F51" s="64" t="str">
        <f>'1. Assumptions and Sources'!$G$40</f>
        <v>Forward-looking. A NEW vector, so additive to B-17 rather than inside it. Sensitivity 0.5% to 2.0%.</v>
      </c>
      <c r="G51" s="62" t="s">
        <v>1001</v>
      </c>
    </row>
    <row r="52" spans="2:9" ht="16.05" customHeight="1" x14ac:dyDescent="0.25">
      <c r="B52" s="62" t="s">
        <v>544</v>
      </c>
      <c r="C52" s="61" t="str">
        <f>'1. Assumptions and Sources'!$C$55</f>
        <v>Cost per manual touch</v>
      </c>
      <c r="D52" s="67">
        <f>'1. Assumptions and Sources'!$E$55</f>
        <v>250</v>
      </c>
      <c r="E52" s="64" t="s">
        <v>416</v>
      </c>
      <c r="F52" s="62" t="s">
        <v>1002</v>
      </c>
      <c r="G52" s="62" t="s">
        <v>1003</v>
      </c>
    </row>
    <row r="53" spans="2:9" ht="16.05" customHeight="1" x14ac:dyDescent="0.25"/>
    <row r="54" spans="2:9" ht="16.05" customHeight="1" x14ac:dyDescent="0.25"/>
    <row r="55" spans="2:9" ht="16.05" customHeight="1" x14ac:dyDescent="0.25">
      <c r="B55" s="185" t="s">
        <v>1004</v>
      </c>
      <c r="C55" s="185"/>
      <c r="D55" s="185"/>
      <c r="E55" s="185"/>
      <c r="F55" s="185"/>
      <c r="G55" s="185"/>
      <c r="H55" s="185"/>
      <c r="I55" s="185"/>
    </row>
    <row r="56" spans="2:9" ht="16.05" customHeight="1" x14ac:dyDescent="0.25">
      <c r="B56" s="186" t="s">
        <v>1005</v>
      </c>
      <c r="C56" s="186"/>
      <c r="D56" s="186"/>
      <c r="E56" s="186"/>
      <c r="F56" s="186"/>
      <c r="G56" s="186"/>
    </row>
    <row r="57" spans="2:9" ht="16.05" customHeight="1" x14ac:dyDescent="0.25">
      <c r="B57" s="186" t="s">
        <v>1006</v>
      </c>
      <c r="C57" s="186"/>
      <c r="D57" s="186"/>
      <c r="E57" s="186"/>
      <c r="F57" s="186"/>
      <c r="G57" s="186"/>
    </row>
    <row r="58" spans="2:9" ht="16.05" customHeight="1" x14ac:dyDescent="0.25">
      <c r="B58" s="186" t="s">
        <v>1007</v>
      </c>
      <c r="C58" s="186"/>
      <c r="D58" s="186"/>
      <c r="E58" s="186"/>
      <c r="F58" s="186"/>
      <c r="G58" s="186"/>
    </row>
    <row r="59" spans="2:9" ht="16.05" customHeight="1" x14ac:dyDescent="0.25">
      <c r="B59" s="186" t="s">
        <v>1008</v>
      </c>
      <c r="C59" s="186"/>
      <c r="D59" s="186"/>
      <c r="E59" s="186"/>
      <c r="F59" s="186"/>
      <c r="G59" s="186"/>
    </row>
    <row r="60" spans="2:9" ht="16.05" customHeight="1" x14ac:dyDescent="0.25">
      <c r="B60" s="186" t="s">
        <v>1009</v>
      </c>
      <c r="C60" s="186"/>
      <c r="D60" s="186"/>
      <c r="E60" s="186"/>
      <c r="F60" s="186"/>
      <c r="G60" s="186"/>
    </row>
    <row r="61" spans="2:9" ht="16.05" customHeight="1" x14ac:dyDescent="0.25">
      <c r="B61" s="186" t="s">
        <v>1010</v>
      </c>
      <c r="C61" s="186"/>
      <c r="D61" s="186"/>
      <c r="E61" s="186"/>
      <c r="F61" s="186"/>
      <c r="G61" s="186"/>
    </row>
    <row r="62" spans="2:9" ht="16.05" customHeight="1" x14ac:dyDescent="0.25"/>
    <row r="63" spans="2:9" ht="16.05" customHeight="1" x14ac:dyDescent="0.25">
      <c r="B63" s="80" t="s">
        <v>1011</v>
      </c>
      <c r="C63" s="80"/>
      <c r="D63" s="80"/>
      <c r="E63" s="80"/>
      <c r="F63" s="80"/>
      <c r="G63" s="80"/>
    </row>
    <row r="64" spans="2:9" ht="16.05" customHeight="1" x14ac:dyDescent="0.25">
      <c r="B64" s="60" t="s">
        <v>4</v>
      </c>
      <c r="C64" s="60" t="s">
        <v>80</v>
      </c>
      <c r="D64" s="60" t="s">
        <v>23</v>
      </c>
      <c r="E64" s="60" t="s">
        <v>24</v>
      </c>
      <c r="F64" s="60" t="s">
        <v>25</v>
      </c>
      <c r="G64" s="60" t="s">
        <v>1012</v>
      </c>
    </row>
    <row r="65" spans="2:7" ht="16.05" customHeight="1" x14ac:dyDescent="0.25">
      <c r="B65" s="62" t="s">
        <v>8</v>
      </c>
      <c r="C65" s="62" t="s">
        <v>1013</v>
      </c>
      <c r="D65" s="61" t="str">
        <f>IF(ROUND('3. Workings'!D105,6)=0,"PASS","FAIL")</f>
        <v>PASS</v>
      </c>
      <c r="E65" s="61" t="str">
        <f>IF(ROUND('3. Workings'!E105,6)=0,"PASS","FAIL")</f>
        <v>PASS</v>
      </c>
      <c r="F65" s="61" t="str">
        <f>IF(ROUND('3. Workings'!F105,6)=0,"PASS","FAIL")</f>
        <v>PASS</v>
      </c>
      <c r="G65" s="62" t="s">
        <v>1014</v>
      </c>
    </row>
    <row r="66" spans="2:7" ht="16.05" customHeight="1" x14ac:dyDescent="0.25">
      <c r="B66" s="62" t="s">
        <v>11</v>
      </c>
      <c r="C66" s="62" t="s">
        <v>1015</v>
      </c>
      <c r="D66" s="61" t="str">
        <f>IF(ROUND(SUM('3. Workings'!D30:D35)-'3. Workings'!D36,6)=0,"PASS","FAIL")</f>
        <v>PASS</v>
      </c>
      <c r="E66" s="61" t="str">
        <f>IF(ROUND(SUM('3. Workings'!E30:E35)-'3. Workings'!E36,6)=0,"PASS","FAIL")</f>
        <v>PASS</v>
      </c>
      <c r="F66" s="61" t="str">
        <f>IF(ROUND(SUM('3. Workings'!F30:F35)-'3. Workings'!F36,6)=0,"PASS","FAIL")</f>
        <v>PASS</v>
      </c>
      <c r="G66" s="62" t="s">
        <v>1016</v>
      </c>
    </row>
    <row r="67" spans="2:7" ht="16.05" customHeight="1" x14ac:dyDescent="0.25">
      <c r="B67" s="62" t="s">
        <v>14</v>
      </c>
      <c r="C67" s="62" t="s">
        <v>1017</v>
      </c>
      <c r="D67" s="61" t="str">
        <f>IF(ROUND('3. Workings'!D129-'3. Workings'!D71,6)=0,"PASS","FAIL")</f>
        <v>PASS</v>
      </c>
      <c r="E67" s="61" t="str">
        <f>IF(ROUND('3. Workings'!E129-'3. Workings'!E71,6)=0,"PASS","FAIL")</f>
        <v>PASS</v>
      </c>
      <c r="F67" s="61" t="str">
        <f>IF(ROUND('3. Workings'!F129-'3. Workings'!F71,6)=0,"PASS","FAIL")</f>
        <v>PASS</v>
      </c>
      <c r="G67" s="62" t="s">
        <v>1018</v>
      </c>
    </row>
    <row r="68" spans="2:7" ht="16.05" customHeight="1" x14ac:dyDescent="0.25">
      <c r="B68" s="62" t="s">
        <v>17</v>
      </c>
      <c r="C68" s="62" t="s">
        <v>1019</v>
      </c>
      <c r="D68" s="61" t="str">
        <f>IF(ROUND(D15-'3. Workings'!D71,6)=0,"PASS","FAIL")</f>
        <v>PASS</v>
      </c>
      <c r="E68" s="61" t="str">
        <f>IF(ROUND(E15-'3. Workings'!E71,6)=0,"PASS","FAIL")</f>
        <v>PASS</v>
      </c>
      <c r="F68" s="61" t="str">
        <f>IF(ROUND(F15-'3. Workings'!F71,6)=0,"PASS","FAIL")</f>
        <v>PASS</v>
      </c>
      <c r="G68" s="62" t="s">
        <v>1020</v>
      </c>
    </row>
    <row r="69" spans="2:7" ht="16.05" customHeight="1" x14ac:dyDescent="0.25">
      <c r="B69" s="62" t="s">
        <v>27</v>
      </c>
      <c r="C69" s="62" t="s">
        <v>1021</v>
      </c>
      <c r="D69" s="61" t="str">
        <f>IF(ROUND('5. Investor Metrics'!D33-'3. Workings'!D71,6)=0,"PASS","FAIL")</f>
        <v>PASS</v>
      </c>
      <c r="E69" s="61" t="str">
        <f>IF(ROUND('5. Investor Metrics'!E33-'3. Workings'!E71,6)=0,"PASS","FAIL")</f>
        <v>PASS</v>
      </c>
      <c r="F69" s="61" t="str">
        <f>IF(ROUND('5. Investor Metrics'!F33-'3. Workings'!F71,6)=0,"PASS","FAIL")</f>
        <v>PASS</v>
      </c>
      <c r="G69" s="62" t="s">
        <v>1022</v>
      </c>
    </row>
    <row r="70" spans="2:7" ht="16.05" customHeight="1" x14ac:dyDescent="0.25">
      <c r="B70" s="62" t="s">
        <v>30</v>
      </c>
      <c r="C70" s="62" t="s">
        <v>1023</v>
      </c>
      <c r="D70" s="61" t="str">
        <f>IF(ROUND('4. Forecast'!$H$13-SUM('4. Forecast'!$E$13:$G$13),6)=0,"PASS","FAIL")</f>
        <v>PASS</v>
      </c>
      <c r="E70" s="61" t="str">
        <f>IF(ROUND('4. Forecast'!$H$26-SUM('4. Forecast'!$E$26:$G$26),6)=0,"PASS","FAIL")</f>
        <v>PASS</v>
      </c>
      <c r="F70" s="61" t="str">
        <f>IF(ROUND('4. Forecast'!$H$39-SUM('4. Forecast'!$E$39:$G$39),6)=0,"PASS","FAIL")</f>
        <v>PASS</v>
      </c>
      <c r="G70" s="62" t="s">
        <v>1024</v>
      </c>
    </row>
    <row r="71" spans="2:7" ht="16.05" customHeight="1" x14ac:dyDescent="0.25">
      <c r="B71" s="62" t="s">
        <v>33</v>
      </c>
      <c r="C71" s="62" t="s">
        <v>1025</v>
      </c>
      <c r="D71" s="61" t="str">
        <f>IF(ROUND('3. Workings'!D82-('3. Workings'!D80+'3. Workings'!D81),6)=0,"PASS","FAIL")</f>
        <v>PASS</v>
      </c>
      <c r="E71" s="61" t="str">
        <f>IF(ROUND('3. Workings'!E82-('3. Workings'!E80+'3. Workings'!E81),6)=0,"PASS","FAIL")</f>
        <v>PASS</v>
      </c>
      <c r="F71" s="61" t="str">
        <f>IF(ROUND('3. Workings'!F82-('3. Workings'!F80+'3. Workings'!F81),6)=0,"PASS","FAIL")</f>
        <v>PASS</v>
      </c>
      <c r="G71" s="62" t="s">
        <v>1026</v>
      </c>
    </row>
    <row r="72" spans="2:7" ht="16.05" customHeight="1" x14ac:dyDescent="0.25">
      <c r="B72" s="62" t="s">
        <v>36</v>
      </c>
      <c r="C72" s="62" t="s">
        <v>1027</v>
      </c>
      <c r="D72" s="61" t="str">
        <f>IF(ROUND(('3. Workings'!D133-'3. Workings'!D134)-'3. Workings'!D112,4)=0,"PASS","FAIL")</f>
        <v>PASS</v>
      </c>
      <c r="E72" s="61" t="str">
        <f>IF(ROUND(('3. Workings'!E133-'3. Workings'!E134)-'3. Workings'!E112,4)=0,"PASS","FAIL")</f>
        <v>PASS</v>
      </c>
      <c r="F72" s="61" t="str">
        <f>IF(ROUND(('3. Workings'!F133-'3. Workings'!F134)-'3. Workings'!F112,4)=0,"PASS","FAIL")</f>
        <v>PASS</v>
      </c>
      <c r="G72" s="62" t="s">
        <v>1028</v>
      </c>
    </row>
    <row r="73" spans="2:7" ht="16.05" customHeight="1" x14ac:dyDescent="0.25"/>
    <row r="74" spans="2:7" ht="16.05" customHeight="1" x14ac:dyDescent="0.25">
      <c r="B74" s="62" t="s">
        <v>39</v>
      </c>
      <c r="C74" s="62" t="s">
        <v>1029</v>
      </c>
      <c r="D74" s="61" t="str">
        <f>IF(COUNTIF(D65:F72,"PASS")=24,"ALL 24 CHECKS PASS","ATTENTION: "&amp;COUNTIF(D65:F72,"FAIL")&amp;" CHECK(S) FAILING")</f>
        <v>ALL 24 CHECKS PASS</v>
      </c>
      <c r="G74" s="62" t="s">
        <v>1030</v>
      </c>
    </row>
  </sheetData>
  <mergeCells count="12">
    <mergeCell ref="B60:G60"/>
    <mergeCell ref="B61:G61"/>
    <mergeCell ref="B55:I55"/>
    <mergeCell ref="B56:G56"/>
    <mergeCell ref="B57:G57"/>
    <mergeCell ref="B58:G58"/>
    <mergeCell ref="B59:G59"/>
    <mergeCell ref="B2:I2"/>
    <mergeCell ref="B3:I3"/>
    <mergeCell ref="B5:I5"/>
    <mergeCell ref="B27:I27"/>
    <mergeCell ref="B38:I38"/>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E75B6"/>
    <pageSetUpPr fitToPage="1"/>
  </sheetPr>
  <dimension ref="B2:I205"/>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4" style="1" customWidth="1"/>
    <col min="7" max="7" width="10" style="1" customWidth="1"/>
    <col min="8" max="8" width="78" style="1" customWidth="1"/>
    <col min="9" max="9" width="13" style="1" customWidth="1"/>
    <col min="10" max="16384" width="8.6640625" style="1"/>
  </cols>
  <sheetData>
    <row r="2" spans="2:8" ht="16.05" customHeight="1" x14ac:dyDescent="0.25">
      <c r="B2" s="183" t="s">
        <v>1031</v>
      </c>
      <c r="C2" s="183"/>
      <c r="D2" s="183"/>
      <c r="E2" s="183"/>
      <c r="F2" s="183"/>
      <c r="G2" s="183"/>
      <c r="H2" s="183"/>
    </row>
    <row r="3" spans="2:8" ht="16.05" customHeight="1" x14ac:dyDescent="0.25">
      <c r="B3" s="184" t="s">
        <v>1032</v>
      </c>
      <c r="C3" s="184"/>
      <c r="D3" s="184"/>
      <c r="E3" s="184"/>
      <c r="F3" s="184"/>
      <c r="G3" s="184"/>
      <c r="H3" s="184"/>
    </row>
    <row r="4" spans="2:8" ht="16.05" customHeight="1" x14ac:dyDescent="0.25"/>
    <row r="5" spans="2:8" ht="16.05" customHeight="1" x14ac:dyDescent="0.25">
      <c r="B5" s="185" t="s">
        <v>1033</v>
      </c>
      <c r="C5" s="185"/>
      <c r="D5" s="185"/>
      <c r="E5" s="185"/>
      <c r="F5" s="185"/>
      <c r="G5" s="185"/>
      <c r="H5" s="185"/>
    </row>
    <row r="6" spans="2:8" ht="16.05" customHeight="1" x14ac:dyDescent="0.25">
      <c r="B6" s="60" t="s">
        <v>4</v>
      </c>
      <c r="C6" s="60" t="s">
        <v>1034</v>
      </c>
      <c r="D6" s="60" t="s">
        <v>23</v>
      </c>
      <c r="E6" s="60" t="s">
        <v>24</v>
      </c>
      <c r="F6" s="60" t="s">
        <v>25</v>
      </c>
      <c r="G6" s="60" t="s">
        <v>393</v>
      </c>
      <c r="H6" s="60" t="s">
        <v>1035</v>
      </c>
    </row>
    <row r="7" spans="2:8" ht="16.05" customHeight="1" x14ac:dyDescent="0.25">
      <c r="B7" s="62" t="s">
        <v>678</v>
      </c>
      <c r="C7" s="62" t="s">
        <v>397</v>
      </c>
      <c r="D7" s="63">
        <f>'1. Assumptions and Sources'!$D$7</f>
        <v>3317.3</v>
      </c>
      <c r="E7" s="63">
        <f>'1. Assumptions and Sources'!$D$7</f>
        <v>3317.3</v>
      </c>
      <c r="F7" s="63">
        <f>'1. Assumptions and Sources'!$D$7</f>
        <v>3317.3</v>
      </c>
      <c r="G7" s="62" t="s">
        <v>398</v>
      </c>
      <c r="H7" s="62" t="s">
        <v>1036</v>
      </c>
    </row>
    <row r="8" spans="2:8" ht="16.05" customHeight="1" x14ac:dyDescent="0.25">
      <c r="B8" s="62" t="s">
        <v>682</v>
      </c>
      <c r="C8" s="62" t="s">
        <v>1037</v>
      </c>
      <c r="D8" s="63">
        <f>D7*'1. Assumptions and Sources'!$D$8</f>
        <v>1654.6692400000002</v>
      </c>
      <c r="E8" s="63">
        <f>E7*'1. Assumptions and Sources'!$D$8</f>
        <v>1654.6692400000002</v>
      </c>
      <c r="F8" s="63">
        <f>F7*'1. Assumptions and Sources'!$D$8</f>
        <v>1654.6692400000002</v>
      </c>
      <c r="G8" s="62" t="s">
        <v>398</v>
      </c>
      <c r="H8" s="62" t="s">
        <v>1038</v>
      </c>
    </row>
    <row r="9" spans="2:8" ht="16.05" customHeight="1" x14ac:dyDescent="0.25">
      <c r="B9" s="62" t="s">
        <v>686</v>
      </c>
      <c r="C9" s="62" t="s">
        <v>1039</v>
      </c>
      <c r="D9" s="63">
        <f>D8*'1. Assumptions and Sources'!$D$9</f>
        <v>1234.3832530400002</v>
      </c>
      <c r="E9" s="63">
        <f>E8*'1. Assumptions and Sources'!$D$9</f>
        <v>1234.3832530400002</v>
      </c>
      <c r="F9" s="63">
        <f>F8*'1. Assumptions and Sources'!$D$9</f>
        <v>1234.3832530400002</v>
      </c>
      <c r="G9" s="62" t="s">
        <v>398</v>
      </c>
      <c r="H9" s="62" t="s">
        <v>1040</v>
      </c>
    </row>
    <row r="10" spans="2:8" ht="16.05" customHeight="1" x14ac:dyDescent="0.25">
      <c r="B10" s="62" t="s">
        <v>690</v>
      </c>
      <c r="C10" s="62" t="s">
        <v>448</v>
      </c>
      <c r="D10" s="67">
        <f>'1. Assumptions and Sources'!$D$23</f>
        <v>45000</v>
      </c>
      <c r="E10" s="67">
        <f>'1. Assumptions and Sources'!$D$23</f>
        <v>45000</v>
      </c>
      <c r="F10" s="67">
        <f>'1. Assumptions and Sources'!$D$23</f>
        <v>45000</v>
      </c>
      <c r="G10" s="62" t="s">
        <v>437</v>
      </c>
      <c r="H10" s="62" t="s">
        <v>1041</v>
      </c>
    </row>
    <row r="11" spans="2:8" ht="16.05" customHeight="1" x14ac:dyDescent="0.25">
      <c r="B11" s="62" t="s">
        <v>694</v>
      </c>
      <c r="C11" s="62" t="s">
        <v>1042</v>
      </c>
      <c r="D11" s="67">
        <f>D9*10000000/D10</f>
        <v>274307.38956444449</v>
      </c>
      <c r="E11" s="67">
        <f>E9*10000000/E10</f>
        <v>274307.38956444449</v>
      </c>
      <c r="F11" s="67">
        <f>F9*10000000/F10</f>
        <v>274307.38956444449</v>
      </c>
      <c r="G11" s="62" t="s">
        <v>931</v>
      </c>
      <c r="H11" s="62" t="s">
        <v>1043</v>
      </c>
    </row>
    <row r="12" spans="2:8" ht="16.05" customHeight="1" x14ac:dyDescent="0.25">
      <c r="B12" s="69" t="s">
        <v>698</v>
      </c>
      <c r="C12" s="69" t="s">
        <v>28</v>
      </c>
      <c r="D12" s="70">
        <f>'1. Assumptions and Sources'!D$54</f>
        <v>0.2</v>
      </c>
      <c r="E12" s="70">
        <f>'1. Assumptions and Sources'!E$54</f>
        <v>0.6</v>
      </c>
      <c r="F12" s="70">
        <f>'1. Assumptions and Sources'!F$54</f>
        <v>1</v>
      </c>
      <c r="G12" s="69" t="s">
        <v>403</v>
      </c>
      <c r="H12" s="69" t="s">
        <v>1044</v>
      </c>
    </row>
    <row r="13" spans="2:8" ht="16.05" customHeight="1" x14ac:dyDescent="0.25">
      <c r="B13" s="62" t="s">
        <v>702</v>
      </c>
      <c r="C13" s="62" t="s">
        <v>1045</v>
      </c>
      <c r="D13" s="67">
        <f>D11*D12</f>
        <v>54861.477912888899</v>
      </c>
      <c r="E13" s="67">
        <f>E11*E12</f>
        <v>164584.43373866667</v>
      </c>
      <c r="F13" s="67">
        <f>F11*F12</f>
        <v>274307.38956444449</v>
      </c>
      <c r="G13" s="62" t="s">
        <v>931</v>
      </c>
      <c r="H13" s="62" t="s">
        <v>1046</v>
      </c>
    </row>
    <row r="14" spans="2:8" ht="16.05" customHeight="1" x14ac:dyDescent="0.25">
      <c r="B14" s="62" t="s">
        <v>706</v>
      </c>
      <c r="C14" s="62" t="s">
        <v>1047</v>
      </c>
      <c r="D14" s="67">
        <f>D13/12</f>
        <v>4571.7898260740749</v>
      </c>
      <c r="E14" s="67">
        <f>E13/12</f>
        <v>13715.369478222223</v>
      </c>
      <c r="F14" s="67">
        <f>F13/12</f>
        <v>22858.949130370373</v>
      </c>
      <c r="G14" s="62" t="s">
        <v>931</v>
      </c>
      <c r="H14" s="62" t="s">
        <v>1048</v>
      </c>
    </row>
    <row r="15" spans="2:8" ht="16.05" customHeight="1" x14ac:dyDescent="0.25">
      <c r="B15" s="62" t="s">
        <v>871</v>
      </c>
      <c r="C15" s="62" t="s">
        <v>1049</v>
      </c>
      <c r="D15" s="63">
        <f>D9*D12</f>
        <v>246.87665060800006</v>
      </c>
      <c r="E15" s="63">
        <f>E9*E12</f>
        <v>740.62995182400016</v>
      </c>
      <c r="F15" s="63">
        <f>F9*F12</f>
        <v>1234.3832530400002</v>
      </c>
      <c r="G15" s="62" t="s">
        <v>398</v>
      </c>
      <c r="H15" s="62" t="s">
        <v>1050</v>
      </c>
    </row>
    <row r="16" spans="2:8" ht="16.05" customHeight="1" x14ac:dyDescent="0.25"/>
    <row r="17" spans="2:8" ht="16.05" customHeight="1" x14ac:dyDescent="0.25">
      <c r="B17" s="185" t="s">
        <v>1051</v>
      </c>
      <c r="C17" s="185"/>
      <c r="D17" s="185"/>
      <c r="E17" s="185"/>
      <c r="F17" s="185"/>
      <c r="G17" s="185"/>
      <c r="H17" s="185"/>
    </row>
    <row r="18" spans="2:8" ht="16.05" customHeight="1" x14ac:dyDescent="0.25">
      <c r="B18" s="60" t="s">
        <v>4</v>
      </c>
      <c r="C18" s="60" t="s">
        <v>1034</v>
      </c>
      <c r="D18" s="60" t="s">
        <v>23</v>
      </c>
      <c r="E18" s="60" t="s">
        <v>24</v>
      </c>
      <c r="F18" s="60" t="s">
        <v>25</v>
      </c>
      <c r="G18" s="60" t="s">
        <v>393</v>
      </c>
      <c r="H18" s="60" t="s">
        <v>1035</v>
      </c>
    </row>
    <row r="19" spans="2:8" ht="16.05" customHeight="1" x14ac:dyDescent="0.25">
      <c r="B19" s="62" t="s">
        <v>875</v>
      </c>
      <c r="C19" s="62" t="s">
        <v>1052</v>
      </c>
      <c r="D19" s="83">
        <f>'1. Assumptions and Sources'!$D$25*'1. Assumptions and Sources'!$D$28+'1. Assumptions and Sources'!$D$26*'1. Assumptions and Sources'!$D$29+'1. Assumptions and Sources'!$D$27*'1. Assumptions and Sources'!$D$30</f>
        <v>1.23</v>
      </c>
      <c r="E19" s="83">
        <f>'1. Assumptions and Sources'!$D$25*'1. Assumptions and Sources'!$D$28+'1. Assumptions and Sources'!$D$26*'1. Assumptions and Sources'!$D$29+'1. Assumptions and Sources'!$D$27*'1. Assumptions and Sources'!$D$30</f>
        <v>1.23</v>
      </c>
      <c r="F19" s="83">
        <f>'1. Assumptions and Sources'!$D$25*'1. Assumptions and Sources'!$D$28+'1. Assumptions and Sources'!$D$26*'1. Assumptions and Sources'!$D$29+'1. Assumptions and Sources'!$D$27*'1. Assumptions and Sources'!$D$30</f>
        <v>1.23</v>
      </c>
      <c r="G19" s="62" t="s">
        <v>452</v>
      </c>
      <c r="H19" s="62" t="s">
        <v>1053</v>
      </c>
    </row>
    <row r="20" spans="2:8" ht="16.05" customHeight="1" x14ac:dyDescent="0.25">
      <c r="B20" s="62" t="s">
        <v>879</v>
      </c>
      <c r="C20" s="62" t="s">
        <v>1054</v>
      </c>
      <c r="D20" s="83">
        <f>'1. Assumptions and Sources'!$D$24-D19</f>
        <v>5.77</v>
      </c>
      <c r="E20" s="83">
        <f>'1. Assumptions and Sources'!$D$24-E19</f>
        <v>5.77</v>
      </c>
      <c r="F20" s="83">
        <f>'1. Assumptions and Sources'!$D$24-F19</f>
        <v>5.77</v>
      </c>
      <c r="G20" s="62" t="s">
        <v>452</v>
      </c>
      <c r="H20" s="62" t="s">
        <v>1055</v>
      </c>
    </row>
    <row r="21" spans="2:8" ht="16.05" customHeight="1" x14ac:dyDescent="0.25">
      <c r="B21" s="85" t="s">
        <v>1056</v>
      </c>
      <c r="C21" s="85" t="s">
        <v>1057</v>
      </c>
      <c r="D21" s="86">
        <f>'1. Assumptions and Sources'!$D$25*'1. Assumptions and Sources'!$D$32+'1. Assumptions and Sources'!$D$26*'1. Assumptions and Sources'!$D$33+'1. Assumptions and Sources'!$D$27*'1. Assumptions and Sources'!$D$34</f>
        <v>2.5500000000000003</v>
      </c>
      <c r="E21" s="86">
        <f>'1. Assumptions and Sources'!$D$25*'1. Assumptions and Sources'!$D$32+'1. Assumptions and Sources'!$D$26*'1. Assumptions and Sources'!$D$33+'1. Assumptions and Sources'!$D$27*'1. Assumptions and Sources'!$D$34</f>
        <v>2.5500000000000003</v>
      </c>
      <c r="F21" s="86">
        <f>'1. Assumptions and Sources'!$D$25*'1. Assumptions and Sources'!$D$32+'1. Assumptions and Sources'!$D$26*'1. Assumptions and Sources'!$D$33+'1. Assumptions and Sources'!$D$27*'1. Assumptions and Sources'!$D$34</f>
        <v>2.5500000000000003</v>
      </c>
      <c r="G21" s="85" t="s">
        <v>474</v>
      </c>
      <c r="H21" s="85" t="s">
        <v>1058</v>
      </c>
    </row>
    <row r="22" spans="2:8" ht="16.05" customHeight="1" x14ac:dyDescent="0.25">
      <c r="B22" s="62" t="s">
        <v>1059</v>
      </c>
      <c r="C22" s="62" t="s">
        <v>473</v>
      </c>
      <c r="D22" s="83">
        <f>'1. Assumptions and Sources'!$D$31</f>
        <v>9.8000000000000007</v>
      </c>
      <c r="E22" s="83">
        <f>'1. Assumptions and Sources'!$D$31</f>
        <v>9.8000000000000007</v>
      </c>
      <c r="F22" s="83">
        <f>'1. Assumptions and Sources'!$D$31</f>
        <v>9.8000000000000007</v>
      </c>
      <c r="G22" s="62" t="s">
        <v>474</v>
      </c>
      <c r="H22" s="62" t="s">
        <v>1060</v>
      </c>
    </row>
    <row r="23" spans="2:8" ht="16.05" customHeight="1" x14ac:dyDescent="0.25">
      <c r="B23" s="62" t="s">
        <v>1061</v>
      </c>
      <c r="C23" s="62" t="s">
        <v>1062</v>
      </c>
      <c r="D23" s="83">
        <f>('1. Assumptions and Sources'!$D$25-'1. Assumptions and Sources'!$D$42)*'1. Assumptions and Sources'!$D$32+('1. Assumptions and Sources'!$D$26+'1. Assumptions and Sources'!$D$42)*'1. Assumptions and Sources'!$D$33+'1. Assumptions and Sources'!$D$27*'1. Assumptions and Sources'!$D$34</f>
        <v>2.7100000000000004</v>
      </c>
      <c r="E23" s="83">
        <f>('1. Assumptions and Sources'!$D$25-'1. Assumptions and Sources'!$D$42)*'1. Assumptions and Sources'!$D$32+('1. Assumptions and Sources'!$D$26+'1. Assumptions and Sources'!$D$42)*'1. Assumptions and Sources'!$D$33+'1. Assumptions and Sources'!$D$27*'1. Assumptions and Sources'!$D$34</f>
        <v>2.7100000000000004</v>
      </c>
      <c r="F23" s="83">
        <f>('1. Assumptions and Sources'!$D$25-'1. Assumptions and Sources'!$D$42)*'1. Assumptions and Sources'!$D$32+('1. Assumptions and Sources'!$D$26+'1. Assumptions and Sources'!$D$42)*'1. Assumptions and Sources'!$D$33+'1. Assumptions and Sources'!$D$27*'1. Assumptions and Sources'!$D$34</f>
        <v>2.7100000000000004</v>
      </c>
      <c r="G23" s="62" t="s">
        <v>474</v>
      </c>
      <c r="H23" s="62" t="s">
        <v>1063</v>
      </c>
    </row>
    <row r="24" spans="2:8" ht="16.05" customHeight="1" x14ac:dyDescent="0.25">
      <c r="B24" s="85" t="s">
        <v>1064</v>
      </c>
      <c r="C24" s="85" t="s">
        <v>935</v>
      </c>
      <c r="D24" s="86">
        <f>D12*D23+(1-D12)*D22</f>
        <v>8.3820000000000014</v>
      </c>
      <c r="E24" s="86">
        <f>E12*E23+(1-E12)*E22</f>
        <v>5.5460000000000003</v>
      </c>
      <c r="F24" s="86">
        <f>F12*F23+(1-F12)*F22</f>
        <v>2.7100000000000004</v>
      </c>
      <c r="G24" s="85" t="s">
        <v>474</v>
      </c>
      <c r="H24" s="85" t="s">
        <v>1065</v>
      </c>
    </row>
    <row r="25" spans="2:8" ht="16.05" customHeight="1" x14ac:dyDescent="0.25">
      <c r="B25" s="62" t="s">
        <v>1066</v>
      </c>
      <c r="C25" s="62" t="s">
        <v>937</v>
      </c>
      <c r="D25" s="83">
        <f>D22-D24</f>
        <v>1.4179999999999993</v>
      </c>
      <c r="E25" s="83">
        <f>E22-E24</f>
        <v>4.2540000000000004</v>
      </c>
      <c r="F25" s="83">
        <f>F22-F24</f>
        <v>7.09</v>
      </c>
      <c r="G25" s="62" t="s">
        <v>474</v>
      </c>
      <c r="H25" s="62" t="s">
        <v>1067</v>
      </c>
    </row>
    <row r="26" spans="2:8" ht="16.05" customHeight="1" x14ac:dyDescent="0.25">
      <c r="B26" s="62" t="s">
        <v>1068</v>
      </c>
      <c r="C26" s="62" t="s">
        <v>1069</v>
      </c>
      <c r="D26" s="84">
        <f>D25/D22</f>
        <v>0.14469387755102031</v>
      </c>
      <c r="E26" s="84">
        <f>E25/E22</f>
        <v>0.43408163265306121</v>
      </c>
      <c r="F26" s="84">
        <f>F25/F22</f>
        <v>0.72346938775510194</v>
      </c>
      <c r="G26" s="62" t="s">
        <v>938</v>
      </c>
      <c r="H26" s="62" t="s">
        <v>1070</v>
      </c>
    </row>
    <row r="27" spans="2:8" ht="16.05" customHeight="1" x14ac:dyDescent="0.25"/>
    <row r="28" spans="2:8" ht="16.05" customHeight="1" x14ac:dyDescent="0.25">
      <c r="B28" s="185" t="s">
        <v>1071</v>
      </c>
      <c r="C28" s="185"/>
      <c r="D28" s="185"/>
      <c r="E28" s="185"/>
      <c r="F28" s="185"/>
      <c r="G28" s="185"/>
      <c r="H28" s="185"/>
    </row>
    <row r="29" spans="2:8" ht="16.05" customHeight="1" x14ac:dyDescent="0.25">
      <c r="B29" s="60" t="s">
        <v>4</v>
      </c>
      <c r="C29" s="60" t="s">
        <v>968</v>
      </c>
      <c r="D29" s="60" t="s">
        <v>23</v>
      </c>
      <c r="E29" s="60" t="s">
        <v>24</v>
      </c>
      <c r="F29" s="60" t="s">
        <v>25</v>
      </c>
      <c r="G29" s="60" t="s">
        <v>393</v>
      </c>
      <c r="H29" s="60" t="s">
        <v>1035</v>
      </c>
    </row>
    <row r="30" spans="2:8" ht="16.05" customHeight="1" x14ac:dyDescent="0.25">
      <c r="B30" s="62" t="s">
        <v>1072</v>
      </c>
      <c r="C30" s="62" t="s">
        <v>971</v>
      </c>
      <c r="D30" s="88">
        <f>D13*('1. Assumptions and Sources'!$D$24*'1. Assumptions and Sources'!$D$51-D19*'1. Assumptions and Sources'!D$55)/10000000</f>
        <v>7.5763700997699575</v>
      </c>
      <c r="E30" s="88">
        <f>E13*('1. Assumptions and Sources'!$D$24*'1. Assumptions and Sources'!$D$51-E19*'1. Assumptions and Sources'!E$55)/10000000</f>
        <v>23.741304566802668</v>
      </c>
      <c r="F30" s="88">
        <f>F13*('1. Assumptions and Sources'!$D$24*'1. Assumptions and Sources'!$D$51-F19*'1. Assumptions and Sources'!F$55)/10000000</f>
        <v>41.255831390492453</v>
      </c>
      <c r="G30" s="62" t="s">
        <v>398</v>
      </c>
      <c r="H30" s="62" t="s">
        <v>1073</v>
      </c>
    </row>
    <row r="31" spans="2:8" ht="16.05" customHeight="1" x14ac:dyDescent="0.25">
      <c r="B31" s="62" t="s">
        <v>1074</v>
      </c>
      <c r="C31" s="62" t="s">
        <v>974</v>
      </c>
      <c r="D31" s="88">
        <f>D15*'1. Assumptions and Sources'!$D$39*(1-(1-'1. Assumptions and Sources'!$D$36)/(1-'1. Assumptions and Sources'!$D$35))*('1. Assumptions and Sources'!$D$38/('1. Assumptions and Sources'!$D$37+'1. Assumptions and Sources'!$D$38))</f>
        <v>3.6836594972298959</v>
      </c>
      <c r="E31" s="88">
        <f>E15*'1. Assumptions and Sources'!$D$39*(1-(1-'1. Assumptions and Sources'!$D$36)/(1-'1. Assumptions and Sources'!$D$35))*('1. Assumptions and Sources'!$D$38/('1. Assumptions and Sources'!$D$37+'1. Assumptions and Sources'!$D$38))</f>
        <v>11.050978491689687</v>
      </c>
      <c r="F31" s="88">
        <f>F15*'1. Assumptions and Sources'!$D$39*(1-(1-'1. Assumptions and Sources'!$D$36)/(1-'1. Assumptions and Sources'!$D$35))*('1. Assumptions and Sources'!$D$38/('1. Assumptions and Sources'!$D$37+'1. Assumptions and Sources'!$D$38))</f>
        <v>18.418297486149477</v>
      </c>
      <c r="G31" s="62" t="s">
        <v>398</v>
      </c>
      <c r="H31" s="62" t="s">
        <v>1075</v>
      </c>
    </row>
    <row r="32" spans="2:8" ht="16.05" customHeight="1" x14ac:dyDescent="0.25">
      <c r="B32" s="85" t="s">
        <v>1076</v>
      </c>
      <c r="C32" s="85" t="s">
        <v>977</v>
      </c>
      <c r="D32" s="93">
        <f>D15*'1. Assumptions and Sources'!$D$39*(1-(1-'1. Assumptions and Sources'!$D$36)/(1-'1. Assumptions and Sources'!$D$35))*('1. Assumptions and Sources'!$D$37/('1. Assumptions and Sources'!$D$37+'1. Assumptions and Sources'!$D$38))</f>
        <v>2.0464774984610536</v>
      </c>
      <c r="E32" s="93">
        <f>E15*'1. Assumptions and Sources'!$D$39*(1-(1-'1. Assumptions and Sources'!$D$36)/(1-'1. Assumptions and Sources'!$D$35))*('1. Assumptions and Sources'!$D$37/('1. Assumptions and Sources'!$D$37+'1. Assumptions and Sources'!$D$38))</f>
        <v>6.1394324953831605</v>
      </c>
      <c r="F32" s="93">
        <f>F15*'1. Assumptions and Sources'!$D$39*(1-(1-'1. Assumptions and Sources'!$D$36)/(1-'1. Assumptions and Sources'!$D$35))*('1. Assumptions and Sources'!$D$37/('1. Assumptions and Sources'!$D$37+'1. Assumptions and Sources'!$D$38))</f>
        <v>10.232387492305266</v>
      </c>
      <c r="G32" s="85" t="s">
        <v>398</v>
      </c>
      <c r="H32" s="85" t="s">
        <v>1077</v>
      </c>
    </row>
    <row r="33" spans="2:8" ht="16.05" customHeight="1" x14ac:dyDescent="0.25">
      <c r="B33" s="85" t="s">
        <v>1078</v>
      </c>
      <c r="C33" s="85" t="s">
        <v>979</v>
      </c>
      <c r="D33" s="93">
        <f>D15*'1. Assumptions and Sources'!$D$40*'1. Assumptions and Sources'!$D$41</f>
        <v>2.0984515301680005</v>
      </c>
      <c r="E33" s="93">
        <f>E15*'1. Assumptions and Sources'!$D$40*'1. Assumptions and Sources'!$D$41</f>
        <v>6.2953545905040009</v>
      </c>
      <c r="F33" s="93">
        <f>F15*'1. Assumptions and Sources'!$D$40*'1. Assumptions and Sources'!$D$41</f>
        <v>10.492257650840001</v>
      </c>
      <c r="G33" s="85" t="s">
        <v>398</v>
      </c>
      <c r="H33" s="85" t="s">
        <v>1079</v>
      </c>
    </row>
    <row r="34" spans="2:8" ht="16.05" customHeight="1" x14ac:dyDescent="0.25">
      <c r="B34" s="62" t="s">
        <v>1080</v>
      </c>
      <c r="C34" s="62" t="s">
        <v>1081</v>
      </c>
      <c r="D34" s="88">
        <f>D13*'1. Assumptions and Sources'!$D$43*'1. Assumptions and Sources'!$D$44*'1. Assumptions and Sources'!$D$45/10000000</f>
        <v>0.19201517269511115</v>
      </c>
      <c r="E34" s="88">
        <f>E13*'1. Assumptions and Sources'!$D$43*'1. Assumptions and Sources'!$D$44*'1. Assumptions and Sources'!$D$45/10000000</f>
        <v>0.57604551808533344</v>
      </c>
      <c r="F34" s="88">
        <f>F13*'1. Assumptions and Sources'!$D$43*'1. Assumptions and Sources'!$D$44*'1. Assumptions and Sources'!$D$45/10000000</f>
        <v>0.96007586347555574</v>
      </c>
      <c r="G34" s="62" t="s">
        <v>398</v>
      </c>
      <c r="H34" s="62" t="s">
        <v>1082</v>
      </c>
    </row>
    <row r="35" spans="2:8" ht="16.05" customHeight="1" x14ac:dyDescent="0.25">
      <c r="B35" s="62" t="s">
        <v>1083</v>
      </c>
      <c r="C35" s="62" t="s">
        <v>984</v>
      </c>
      <c r="D35" s="88">
        <f>-D13*'1. Assumptions and Sources'!$D$42*('1. Assumptions and Sources'!$D$29-'1. Assumptions and Sources'!$D$28)*'1. Assumptions and Sources'!D$55/10000000</f>
        <v>-0.23700158458368006</v>
      </c>
      <c r="E35" s="88">
        <f>-E13*'1. Assumptions and Sources'!$D$42*('1. Assumptions and Sources'!$D$29-'1. Assumptions and Sources'!$D$28)*'1. Assumptions and Sources'!E$55/10000000</f>
        <v>-0.59250396145920003</v>
      </c>
      <c r="F35" s="88">
        <f>-F13*'1. Assumptions and Sources'!$D$42*('1. Assumptions and Sources'!$D$29-'1. Assumptions and Sources'!$D$28)*'1. Assumptions and Sources'!F$55/10000000</f>
        <v>-0.79000528194560016</v>
      </c>
      <c r="G35" s="62" t="s">
        <v>398</v>
      </c>
      <c r="H35" s="62" t="s">
        <v>1084</v>
      </c>
    </row>
    <row r="36" spans="2:8" ht="16.05" customHeight="1" x14ac:dyDescent="0.25">
      <c r="B36" s="89" t="s">
        <v>1085</v>
      </c>
      <c r="C36" s="89" t="s">
        <v>986</v>
      </c>
      <c r="D36" s="90">
        <f>SUM(D30:D35)</f>
        <v>15.359972213740338</v>
      </c>
      <c r="E36" s="90">
        <f>SUM(E30:E35)</f>
        <v>47.210611701005661</v>
      </c>
      <c r="F36" s="90">
        <f>SUM(F30:F35)</f>
        <v>80.568844601317153</v>
      </c>
      <c r="G36" s="89" t="s">
        <v>398</v>
      </c>
      <c r="H36" s="89" t="s">
        <v>1086</v>
      </c>
    </row>
    <row r="37" spans="2:8" ht="16.05" customHeight="1" x14ac:dyDescent="0.25"/>
    <row r="38" spans="2:8" ht="16.05" customHeight="1" x14ac:dyDescent="0.25">
      <c r="B38" s="185" t="s">
        <v>1087</v>
      </c>
      <c r="C38" s="185"/>
      <c r="D38" s="185"/>
      <c r="E38" s="185"/>
      <c r="F38" s="185"/>
      <c r="G38" s="185"/>
      <c r="H38" s="185"/>
    </row>
    <row r="39" spans="2:8" ht="16.05" customHeight="1" x14ac:dyDescent="0.25">
      <c r="B39" s="60" t="s">
        <v>4</v>
      </c>
      <c r="C39" s="60" t="s">
        <v>232</v>
      </c>
      <c r="D39" s="60" t="s">
        <v>398</v>
      </c>
      <c r="E39" s="60" t="s">
        <v>550</v>
      </c>
      <c r="F39" s="60" t="s">
        <v>7</v>
      </c>
    </row>
    <row r="40" spans="2:8" ht="16.05" customHeight="1" x14ac:dyDescent="0.25">
      <c r="B40" s="61" t="str">
        <f>'1. Assumptions and Sources'!$B$60</f>
        <v>D-01</v>
      </c>
      <c r="C40" s="61" t="str">
        <f>'1. Assumptions and Sources'!$C$60</f>
        <v>Document AI, OCR and field extraction</v>
      </c>
      <c r="D40" s="88">
        <f>'1. Assumptions and Sources'!$D$60*'1. Assumptions and Sources'!$D$16*'1. Assumptions and Sources'!$D$14/10000000</f>
        <v>0.43828470000000003</v>
      </c>
      <c r="E40" s="61" t="str">
        <f>'1. Assumptions and Sources'!$F$60</f>
        <v>P1</v>
      </c>
      <c r="F40" s="61" t="str">
        <f>'1. Assumptions and Sources'!$G$60</f>
        <v>Vendor NLP extraction band $20-45K</v>
      </c>
    </row>
    <row r="41" spans="2:8" ht="16.05" customHeight="1" x14ac:dyDescent="0.25">
      <c r="B41" s="61" t="str">
        <f>'1. Assumptions and Sources'!$B$61</f>
        <v>D-02</v>
      </c>
      <c r="C41" s="61" t="str">
        <f>'1. Assumptions and Sources'!$C$61</f>
        <v>Policy validation, RAG on actual wording</v>
      </c>
      <c r="D41" s="88">
        <f>'1. Assumptions and Sources'!$D$61*'1. Assumptions and Sources'!$D$16*'1. Assumptions and Sources'!$D$14/10000000</f>
        <v>0.31306050000000002</v>
      </c>
      <c r="E41" s="61" t="str">
        <f>'1. Assumptions and Sources'!$F$61</f>
        <v>P1</v>
      </c>
      <c r="F41" s="61" t="str">
        <f>'1. Assumptions and Sources'!$G$61</f>
        <v>Vendor RAG build band $20-60K</v>
      </c>
    </row>
    <row r="42" spans="2:8" ht="16.05" customHeight="1" x14ac:dyDescent="0.25">
      <c r="B42" s="61" t="str">
        <f>'1. Assumptions and Sources'!$B$62</f>
        <v>D-03</v>
      </c>
      <c r="C42" s="61" t="str">
        <f>'1. Assumptions and Sources'!$C$62</f>
        <v>EXIF and metadata forensics engine</v>
      </c>
      <c r="D42" s="88">
        <f>'1. Assumptions and Sources'!$D$62*'1. Assumptions and Sources'!$D$16*'1. Assumptions and Sources'!$D$14/10000000</f>
        <v>0.31306050000000002</v>
      </c>
      <c r="E42" s="61" t="str">
        <f>'1. Assumptions and Sources'!$F$62</f>
        <v>P1</v>
      </c>
      <c r="F42" s="61" t="str">
        <f>'1. Assumptions and Sources'!$G$62</f>
        <v>CAPTURE INTEGRITY GATE. Rules-based, zero model training.</v>
      </c>
    </row>
    <row r="43" spans="2:8" ht="16.05" customHeight="1" x14ac:dyDescent="0.25">
      <c r="B43" s="61" t="str">
        <f>'1. Assumptions and Sources'!$B$63</f>
        <v>D-04</v>
      </c>
      <c r="C43" s="61" t="str">
        <f>'1. Assumptions and Sources'!$C$63</f>
        <v>Synthetic and tampered image screening</v>
      </c>
      <c r="D43" s="88">
        <f>'1. Assumptions and Sources'!$D$63*'1. Assumptions and Sources'!$D$16*'1. Assumptions and Sources'!$D$14/10000000</f>
        <v>0.62612100000000004</v>
      </c>
      <c r="E43" s="61" t="str">
        <f>'1. Assumptions and Sources'!$F$63</f>
        <v>P2</v>
      </c>
      <c r="F43" s="61" t="str">
        <f>'1. Assumptions and Sources'!$G$63</f>
        <v>CAPTURE INTEGRITY GATE. The moat. Diffusion and GAN artefact classifier tuned on own media.</v>
      </c>
    </row>
    <row r="44" spans="2:8" ht="16.05" customHeight="1" x14ac:dyDescent="0.25">
      <c r="B44" s="61" t="str">
        <f>'1. Assumptions and Sources'!$B$64</f>
        <v>D-05</v>
      </c>
      <c r="C44" s="61" t="str">
        <f>'1. Assumptions and Sources'!$C$64</f>
        <v>Guided live-capture SDK, gallery disabled</v>
      </c>
      <c r="D44" s="88">
        <f>'1. Assumptions and Sources'!$D$64*'1. Assumptions and Sources'!$D$16*'1. Assumptions and Sources'!$D$14/10000000</f>
        <v>0.37567260000000002</v>
      </c>
      <c r="E44" s="61" t="str">
        <f>'1. Assumptions and Sources'!$F$64</f>
        <v>P1</v>
      </c>
      <c r="F44" s="61" t="str">
        <f>'1. Assumptions and Sources'!$G$64</f>
        <v>CAPTURE INTEGRITY GATE. The hard rule that makes the other two checks reliable.</v>
      </c>
    </row>
    <row r="45" spans="2:8" ht="16.05" customHeight="1" x14ac:dyDescent="0.25">
      <c r="B45" s="61" t="str">
        <f>'1. Assumptions and Sources'!$B$65</f>
        <v>D-06</v>
      </c>
      <c r="C45" s="61" t="str">
        <f>'1. Assumptions and Sources'!$C$65</f>
        <v>CV damage assessment, 360 video and depth</v>
      </c>
      <c r="D45" s="88">
        <f>'1. Assumptions and Sources'!$D$65*'1. Assumptions and Sources'!$D$16*'1. Assumptions and Sources'!$D$14/10000000</f>
        <v>1.0017936000000001</v>
      </c>
      <c r="E45" s="61" t="str">
        <f>'1. Assumptions and Sources'!$F$65</f>
        <v>P2</v>
      </c>
      <c r="F45" s="61" t="str">
        <f>'1. Assumptions and Sources'!$G$65</f>
        <v>Two independent sources, $80-180K band</v>
      </c>
    </row>
    <row r="46" spans="2:8" ht="16.05" customHeight="1" x14ac:dyDescent="0.25">
      <c r="B46" s="61" t="str">
        <f>'1. Assumptions and Sources'!$B$66</f>
        <v>D-07</v>
      </c>
      <c r="C46" s="61" t="str">
        <f>'1. Assumptions and Sources'!$C$66</f>
        <v>Repair cost estimation engine</v>
      </c>
      <c r="D46" s="88">
        <f>'1. Assumptions and Sources'!$D$66*'1. Assumptions and Sources'!$D$16*'1. Assumptions and Sources'!$D$14/10000000</f>
        <v>0.50089680000000003</v>
      </c>
      <c r="E46" s="61" t="str">
        <f>'1. Assumptions and Sources'!$F$66</f>
        <v>P2</v>
      </c>
      <c r="F46" s="61" t="str">
        <f>'1. Assumptions and Sources'!$G$66</f>
        <v>Settled claims plus live parts feeds. Garage APIs.</v>
      </c>
    </row>
    <row r="47" spans="2:8" ht="16.05" customHeight="1" x14ac:dyDescent="0.25">
      <c r="B47" s="61" t="str">
        <f>'1. Assumptions and Sources'!$B$67</f>
        <v>D-08</v>
      </c>
      <c r="C47" s="61" t="str">
        <f>'1. Assumptions and Sources'!$C$67</f>
        <v>Fraud and duplicate graph engine</v>
      </c>
      <c r="D47" s="88">
        <f>'1. Assumptions and Sources'!$D$67*'1. Assumptions and Sources'!$D$16*'1. Assumptions and Sources'!$D$14/10000000</f>
        <v>1.0017936000000001</v>
      </c>
      <c r="E47" s="61" t="str">
        <f>'1. Assumptions and Sources'!$F$67</f>
        <v>P3</v>
      </c>
      <c r="F47" s="61" t="str">
        <f>'1. Assumptions and Sources'!$G$67</f>
        <v>Two sources, $80-100K real-time financial fraud</v>
      </c>
    </row>
    <row r="48" spans="2:8" ht="16.05" customHeight="1" x14ac:dyDescent="0.25">
      <c r="B48" s="61" t="str">
        <f>'1. Assumptions and Sources'!$B$68</f>
        <v>D-09</v>
      </c>
      <c r="C48" s="61" t="str">
        <f>'1. Assumptions and Sources'!$C$68</f>
        <v>Trust Score orchestration core</v>
      </c>
      <c r="D48" s="88">
        <f>'1. Assumptions and Sources'!$D$68*'1. Assumptions and Sources'!$D$16*'1. Assumptions and Sources'!$D$14/10000000</f>
        <v>1.878363</v>
      </c>
      <c r="E48" s="61" t="str">
        <f>'1. Assumptions and Sources'!$F$68</f>
        <v>P4</v>
      </c>
      <c r="F48" s="61" t="str">
        <f>'1. Assumptions and Sources'!$G$68</f>
        <v>Multi-model parallel orchestration, $150-300K band</v>
      </c>
    </row>
    <row r="49" spans="2:8" ht="16.05" customHeight="1" x14ac:dyDescent="0.25">
      <c r="B49" s="61" t="str">
        <f>'1. Assumptions and Sources'!$B$69</f>
        <v>D-10</v>
      </c>
      <c r="C49" s="61" t="str">
        <f>'1. Assumptions and Sources'!$C$69</f>
        <v>Production hardening</v>
      </c>
      <c r="D49" s="88">
        <f>'1. Assumptions and Sources'!$D$69*'1. Assumptions and Sources'!$D$16*'1. Assumptions and Sources'!$D$14/10000000</f>
        <v>0.75134520000000005</v>
      </c>
      <c r="E49" s="61" t="str">
        <f>'1. Assumptions and Sources'!$F$69</f>
        <v>P4</v>
      </c>
      <c r="F49" s="61" t="str">
        <f>'1. Assumptions and Sources'!$G$69</f>
        <v>40% of orchestration. Audit trail, human override, rollback, explainability.</v>
      </c>
    </row>
    <row r="50" spans="2:8" ht="16.05" customHeight="1" x14ac:dyDescent="0.25">
      <c r="B50" s="61" t="str">
        <f>'1. Assumptions and Sources'!$B$70</f>
        <v>D-11</v>
      </c>
      <c r="C50" s="61" t="str">
        <f>'1. Assumptions and Sources'!$C$70</f>
        <v>Claimant, surveyor and garage consoles</v>
      </c>
      <c r="D50" s="88">
        <f>'1. Assumptions and Sources'!$D$70*'1. Assumptions and Sources'!$D$16*'1. Assumptions and Sources'!$D$14/10000000</f>
        <v>0.43828470000000003</v>
      </c>
      <c r="E50" s="61" t="str">
        <f>'1. Assumptions and Sources'!$F$70</f>
        <v>P4</v>
      </c>
      <c r="F50" s="61" t="str">
        <f>'1. Assumptions and Sources'!$G$70</f>
        <v>Submission, tracking, proactive status push</v>
      </c>
    </row>
    <row r="51" spans="2:8" ht="16.05" customHeight="1" x14ac:dyDescent="0.25">
      <c r="B51" s="61" t="str">
        <f>'1. Assumptions and Sources'!$B$71</f>
        <v>D-12</v>
      </c>
      <c r="C51" s="61" t="str">
        <f>'1. Assumptions and Sources'!$C$71</f>
        <v>Systems integration</v>
      </c>
      <c r="D51" s="88">
        <f>'1. Assumptions and Sources'!$D$71*'1. Assumptions and Sources'!$D$16*'1. Assumptions and Sources'!$D$14/10000000</f>
        <v>1.0017936000000001</v>
      </c>
      <c r="E51" s="61" t="str">
        <f>'1. Assumptions and Sources'!$F$71</f>
        <v>Cross</v>
      </c>
      <c r="F51" s="61" t="str">
        <f>'1. Assumptions and Sources'!$G$71</f>
        <v>VAHAN, garage, policy DB, payment, CRM, surveyor, WhatsApp, mobile. No published benchmark exists; an SI quote is a pre-build gate.</v>
      </c>
    </row>
    <row r="52" spans="2:8" ht="16.05" customHeight="1" x14ac:dyDescent="0.25">
      <c r="B52" s="61" t="str">
        <f>'1. Assumptions and Sources'!$B$72</f>
        <v>D-13</v>
      </c>
      <c r="C52" s="61" t="str">
        <f>'1. Assumptions and Sources'!$C$72</f>
        <v>Training data: labelled damage and synthetic set</v>
      </c>
      <c r="D52" s="88">
        <f>'1. Assumptions and Sources'!$E$72/10000000</f>
        <v>0.6</v>
      </c>
      <c r="E52" s="61" t="str">
        <f>'1. Assumptions and Sources'!$F$72</f>
        <v>P2</v>
      </c>
      <c r="F52" s="61" t="str">
        <f>'1. Assumptions and Sources'!$G$72</f>
        <v>CAPTURE INTEGRITY GATE. Real Indian damage media plus generated fakes to train the classifier.</v>
      </c>
    </row>
    <row r="53" spans="2:8" ht="16.05" customHeight="1" x14ac:dyDescent="0.25">
      <c r="B53" s="61" t="str">
        <f>'1. Assumptions and Sources'!$B$73</f>
        <v>D-14</v>
      </c>
      <c r="C53" s="61" t="str">
        <f>'1. Assumptions and Sources'!$C$73</f>
        <v>Model QC and UAT window</v>
      </c>
      <c r="D53" s="88">
        <f>'1. Assumptions and Sources'!$E$73/10000000</f>
        <v>0.4</v>
      </c>
      <c r="E53" s="61" t="str">
        <f>'1. Assumptions and Sources'!$F$73</f>
        <v>Cross</v>
      </c>
      <c r="F53" s="61" t="str">
        <f>'1. Assumptions and Sources'!$G$73</f>
        <v>Shadow to canary to gradual, plus model-output quality assurance</v>
      </c>
    </row>
    <row r="54" spans="2:8" ht="16.05" customHeight="1" x14ac:dyDescent="0.25">
      <c r="B54" s="61" t="str">
        <f>'1. Assumptions and Sources'!$B$74</f>
        <v>D-15</v>
      </c>
      <c r="C54" s="61" t="str">
        <f>'1. Assumptions and Sources'!$C$74</f>
        <v>Security, DPDP and SOC2 setup</v>
      </c>
      <c r="D54" s="88">
        <f>'1. Assumptions and Sources'!$E$74/10000000</f>
        <v>0.25</v>
      </c>
      <c r="E54" s="61" t="str">
        <f>'1. Assumptions and Sources'!$F$74</f>
        <v>Cross</v>
      </c>
      <c r="F54" s="61" t="str">
        <f>'1. Assumptions and Sources'!$G$74</f>
        <v>India pentest, SOC2 tooling, compliance engineering. One-off, separate from ongoing monitoring.</v>
      </c>
    </row>
    <row r="55" spans="2:8" ht="16.05" customHeight="1" x14ac:dyDescent="0.25">
      <c r="B55" s="89" t="s">
        <v>1088</v>
      </c>
      <c r="C55" s="89" t="s">
        <v>1089</v>
      </c>
      <c r="D55" s="90">
        <f>SUM(D40:D54)</f>
        <v>9.8904698000000018</v>
      </c>
      <c r="E55" s="89" t="s">
        <v>1090</v>
      </c>
      <c r="F55" s="89" t="s">
        <v>1091</v>
      </c>
    </row>
    <row r="56" spans="2:8" ht="16.05" customHeight="1" x14ac:dyDescent="0.25"/>
    <row r="57" spans="2:8" ht="16.05" customHeight="1" x14ac:dyDescent="0.25">
      <c r="B57" s="185" t="s">
        <v>1092</v>
      </c>
      <c r="C57" s="185"/>
      <c r="D57" s="185"/>
      <c r="E57" s="185"/>
      <c r="F57" s="185"/>
      <c r="G57" s="185"/>
      <c r="H57" s="185"/>
    </row>
    <row r="58" spans="2:8" ht="16.05" customHeight="1" x14ac:dyDescent="0.25">
      <c r="B58" s="60" t="s">
        <v>4</v>
      </c>
      <c r="C58" s="60" t="s">
        <v>1093</v>
      </c>
      <c r="D58" s="60" t="s">
        <v>23</v>
      </c>
      <c r="E58" s="60" t="s">
        <v>24</v>
      </c>
      <c r="F58" s="60" t="s">
        <v>25</v>
      </c>
      <c r="G58" s="60" t="s">
        <v>393</v>
      </c>
      <c r="H58" s="60" t="s">
        <v>1035</v>
      </c>
    </row>
    <row r="59" spans="2:8" ht="16.05" customHeight="1" x14ac:dyDescent="0.25">
      <c r="B59" s="62" t="s">
        <v>1094</v>
      </c>
      <c r="C59" s="62" t="s">
        <v>1095</v>
      </c>
      <c r="D59" s="88">
        <f>D13*'1. Assumptions and Sources'!$D$78*'1. Assumptions and Sources'!$D$79*'1. Assumptions and Sources'!$D$80*'1. Assumptions and Sources'!$D$81*'1. Assumptions and Sources'!$D$14/10000000</f>
        <v>0.62739429292214399</v>
      </c>
      <c r="E59" s="88">
        <f>E13*'1. Assumptions and Sources'!$D$78*'1. Assumptions and Sources'!$D$79*'1. Assumptions and Sources'!$D$80*'1. Assumptions and Sources'!$D$81*'1. Assumptions and Sources'!$D$14/10000000</f>
        <v>1.8821828787664312</v>
      </c>
      <c r="F59" s="88">
        <f>F13*'1. Assumptions and Sources'!$D$78*'1. Assumptions and Sources'!$D$79*'1. Assumptions and Sources'!$D$80*'1. Assumptions and Sources'!$D$81*'1. Assumptions and Sources'!$D$14/10000000</f>
        <v>3.1369714646107192</v>
      </c>
      <c r="G59" s="62" t="s">
        <v>398</v>
      </c>
      <c r="H59" s="62" t="s">
        <v>1096</v>
      </c>
    </row>
    <row r="60" spans="2:8" ht="16.05" customHeight="1" x14ac:dyDescent="0.25">
      <c r="B60" s="62" t="s">
        <v>1097</v>
      </c>
      <c r="C60" s="62" t="s">
        <v>202</v>
      </c>
      <c r="D60" s="88">
        <f>D13*'1. Assumptions and Sources'!$D$82*'1. Assumptions and Sources'!$D$14*'1. Assumptions and Sources'!$D$83/10000000</f>
        <v>6.7967884986278065E-2</v>
      </c>
      <c r="E60" s="88">
        <f>E13*'1. Assumptions and Sources'!$D$82*'1. Assumptions and Sources'!$D$14*'1. Assumptions and Sources'!$D$83/10000000</f>
        <v>0.20390365495883414</v>
      </c>
      <c r="F60" s="88">
        <f>F13*'1. Assumptions and Sources'!$D$82*'1. Assumptions and Sources'!$D$14*'1. Assumptions and Sources'!$D$83/10000000</f>
        <v>0.3398394249313903</v>
      </c>
      <c r="G60" s="62" t="s">
        <v>398</v>
      </c>
      <c r="H60" s="62" t="s">
        <v>1098</v>
      </c>
    </row>
    <row r="61" spans="2:8" ht="16.05" customHeight="1" x14ac:dyDescent="0.25">
      <c r="B61" s="62" t="s">
        <v>1099</v>
      </c>
      <c r="C61" s="62" t="s">
        <v>624</v>
      </c>
      <c r="D61" s="88">
        <f>'1. Assumptions and Sources'!$D$84*'1. Assumptions and Sources'!$D$14*12/10000000</f>
        <v>0.80052000000000001</v>
      </c>
      <c r="E61" s="88">
        <f>'1. Assumptions and Sources'!$D$84*'1. Assumptions and Sources'!$D$14*12/10000000</f>
        <v>0.80052000000000001</v>
      </c>
      <c r="F61" s="88">
        <f>'1. Assumptions and Sources'!$D$84*'1. Assumptions and Sources'!$D$14*12/10000000</f>
        <v>0.80052000000000001</v>
      </c>
      <c r="G61" s="62" t="s">
        <v>398</v>
      </c>
      <c r="H61" s="62" t="s">
        <v>1100</v>
      </c>
    </row>
    <row r="62" spans="2:8" ht="16.05" customHeight="1" x14ac:dyDescent="0.25">
      <c r="B62" s="62" t="s">
        <v>1101</v>
      </c>
      <c r="C62" s="62" t="s">
        <v>628</v>
      </c>
      <c r="D62" s="88">
        <f>'1. Assumptions and Sources'!$D$85*12/10000000</f>
        <v>0.64400040000000003</v>
      </c>
      <c r="E62" s="88">
        <f>'1. Assumptions and Sources'!$D$85*12/10000000</f>
        <v>0.64400040000000003</v>
      </c>
      <c r="F62" s="88">
        <f>'1. Assumptions and Sources'!$D$85*12/10000000</f>
        <v>0.64400040000000003</v>
      </c>
      <c r="G62" s="62" t="s">
        <v>398</v>
      </c>
      <c r="H62" s="62" t="s">
        <v>1102</v>
      </c>
    </row>
    <row r="63" spans="2:8" ht="16.05" customHeight="1" x14ac:dyDescent="0.25">
      <c r="B63" s="62" t="s">
        <v>1103</v>
      </c>
      <c r="C63" s="62" t="s">
        <v>632</v>
      </c>
      <c r="D63" s="88">
        <f>'1. Assumptions and Sources'!$D$86*12/10000000</f>
        <v>0.24999959999999999</v>
      </c>
      <c r="E63" s="88">
        <f>'1. Assumptions and Sources'!$D$86*12/10000000</f>
        <v>0.24999959999999999</v>
      </c>
      <c r="F63" s="88">
        <f>'1. Assumptions and Sources'!$D$86*12/10000000</f>
        <v>0.24999959999999999</v>
      </c>
      <c r="G63" s="62" t="s">
        <v>398</v>
      </c>
      <c r="H63" s="62" t="s">
        <v>1104</v>
      </c>
    </row>
    <row r="64" spans="2:8" ht="16.05" customHeight="1" x14ac:dyDescent="0.25">
      <c r="B64" s="62" t="s">
        <v>1105</v>
      </c>
      <c r="C64" s="62" t="s">
        <v>635</v>
      </c>
      <c r="D64" s="88">
        <f>'1. Assumptions and Sources'!$D$87*12/10000000</f>
        <v>0.12</v>
      </c>
      <c r="E64" s="88">
        <f>'1. Assumptions and Sources'!$D$87*12/10000000</f>
        <v>0.12</v>
      </c>
      <c r="F64" s="88">
        <f>'1. Assumptions and Sources'!$D$87*12/10000000</f>
        <v>0.12</v>
      </c>
      <c r="G64" s="62" t="s">
        <v>398</v>
      </c>
      <c r="H64" s="62" t="s">
        <v>1106</v>
      </c>
    </row>
    <row r="65" spans="2:8" ht="16.05" customHeight="1" x14ac:dyDescent="0.25">
      <c r="B65" s="89" t="s">
        <v>1107</v>
      </c>
      <c r="C65" s="89" t="s">
        <v>1108</v>
      </c>
      <c r="D65" s="90">
        <f>SUM(D59:D64)</f>
        <v>2.5098821779084224</v>
      </c>
      <c r="E65" s="90">
        <f>SUM(E59:E64)</f>
        <v>3.9006065337252656</v>
      </c>
      <c r="F65" s="90">
        <f>SUM(F59:F64)</f>
        <v>5.2913308895421096</v>
      </c>
      <c r="G65" s="89" t="s">
        <v>398</v>
      </c>
      <c r="H65" s="89" t="s">
        <v>1109</v>
      </c>
    </row>
    <row r="66" spans="2:8" ht="16.05" customHeight="1" x14ac:dyDescent="0.25"/>
    <row r="67" spans="2:8" ht="16.05" customHeight="1" x14ac:dyDescent="0.25">
      <c r="B67" s="185" t="s">
        <v>1110</v>
      </c>
      <c r="C67" s="185"/>
      <c r="D67" s="185"/>
      <c r="E67" s="185"/>
      <c r="F67" s="185"/>
      <c r="G67" s="185"/>
      <c r="H67" s="185"/>
    </row>
    <row r="68" spans="2:8" ht="16.05" customHeight="1" x14ac:dyDescent="0.25">
      <c r="B68" s="60" t="s">
        <v>4</v>
      </c>
      <c r="C68" s="60" t="s">
        <v>155</v>
      </c>
      <c r="D68" s="60" t="s">
        <v>23</v>
      </c>
      <c r="E68" s="60" t="s">
        <v>24</v>
      </c>
      <c r="F68" s="60" t="s">
        <v>25</v>
      </c>
      <c r="G68" s="60" t="s">
        <v>393</v>
      </c>
      <c r="H68" s="60" t="s">
        <v>1035</v>
      </c>
    </row>
    <row r="69" spans="2:8" ht="16.05" customHeight="1" x14ac:dyDescent="0.25">
      <c r="B69" s="62" t="s">
        <v>1111</v>
      </c>
      <c r="C69" s="62" t="s">
        <v>942</v>
      </c>
      <c r="D69" s="88">
        <f>D36</f>
        <v>15.359972213740338</v>
      </c>
      <c r="E69" s="88">
        <f>E36</f>
        <v>47.210611701005661</v>
      </c>
      <c r="F69" s="88">
        <f>F36</f>
        <v>80.568844601317153</v>
      </c>
      <c r="G69" s="62" t="s">
        <v>398</v>
      </c>
      <c r="H69" s="62" t="s">
        <v>1112</v>
      </c>
    </row>
    <row r="70" spans="2:8" ht="16.05" customHeight="1" x14ac:dyDescent="0.25">
      <c r="B70" s="62" t="s">
        <v>1113</v>
      </c>
      <c r="C70" s="62" t="s">
        <v>944</v>
      </c>
      <c r="D70" s="88">
        <f>D65</f>
        <v>2.5098821779084224</v>
      </c>
      <c r="E70" s="88">
        <f>E65</f>
        <v>3.9006065337252656</v>
      </c>
      <c r="F70" s="88">
        <f>F65</f>
        <v>5.2913308895421096</v>
      </c>
      <c r="G70" s="62" t="s">
        <v>398</v>
      </c>
      <c r="H70" s="62" t="s">
        <v>1114</v>
      </c>
    </row>
    <row r="71" spans="2:8" ht="16.05" customHeight="1" x14ac:dyDescent="0.25">
      <c r="B71" s="94" t="s">
        <v>1115</v>
      </c>
      <c r="C71" s="94" t="s">
        <v>946</v>
      </c>
      <c r="D71" s="95">
        <f>D69-D70</f>
        <v>12.850090035831915</v>
      </c>
      <c r="E71" s="95">
        <f>E69-E70</f>
        <v>43.310005167280394</v>
      </c>
      <c r="F71" s="95">
        <f>F69-F70</f>
        <v>75.277513711775043</v>
      </c>
      <c r="G71" s="94" t="s">
        <v>398</v>
      </c>
      <c r="H71" s="94" t="s">
        <v>1116</v>
      </c>
    </row>
    <row r="72" spans="2:8" ht="16.05" customHeight="1" x14ac:dyDescent="0.25">
      <c r="B72" s="62" t="s">
        <v>1117</v>
      </c>
      <c r="C72" s="62" t="s">
        <v>948</v>
      </c>
      <c r="D72" s="88">
        <f>D71/12</f>
        <v>1.0708408363193263</v>
      </c>
      <c r="E72" s="88">
        <f>E71/12</f>
        <v>3.609167097273366</v>
      </c>
      <c r="F72" s="88">
        <f>F71/12</f>
        <v>6.2731261426479206</v>
      </c>
      <c r="G72" s="62" t="s">
        <v>398</v>
      </c>
      <c r="H72" s="62" t="s">
        <v>1118</v>
      </c>
    </row>
    <row r="73" spans="2:8" ht="16.05" customHeight="1" x14ac:dyDescent="0.25">
      <c r="B73" s="62" t="s">
        <v>1119</v>
      </c>
      <c r="C73" s="62" t="s">
        <v>1120</v>
      </c>
      <c r="D73" s="88">
        <f>$D$55</f>
        <v>9.8904698000000018</v>
      </c>
      <c r="E73" s="88">
        <f>$D$55</f>
        <v>9.8904698000000018</v>
      </c>
      <c r="F73" s="88">
        <f>$D$55</f>
        <v>9.8904698000000018</v>
      </c>
      <c r="G73" s="62" t="s">
        <v>398</v>
      </c>
      <c r="H73" s="62" t="s">
        <v>1121</v>
      </c>
    </row>
    <row r="74" spans="2:8" ht="16.05" customHeight="1" x14ac:dyDescent="0.25">
      <c r="B74" s="89" t="s">
        <v>1122</v>
      </c>
      <c r="C74" s="89" t="s">
        <v>1123</v>
      </c>
      <c r="D74" s="92">
        <f>IF(D72&gt;0,D73/D72,"n/a")</f>
        <v>9.2361716742100874</v>
      </c>
      <c r="E74" s="92">
        <f>IF(E72&gt;0,E73/E72,"n/a")</f>
        <v>2.7403745887720188</v>
      </c>
      <c r="F74" s="92">
        <f>IF(F72&gt;0,F73/F72,"n/a")</f>
        <v>1.5766413069170615</v>
      </c>
      <c r="G74" s="89" t="s">
        <v>533</v>
      </c>
      <c r="H74" s="89" t="s">
        <v>1124</v>
      </c>
    </row>
    <row r="75" spans="2:8" ht="16.05" customHeight="1" x14ac:dyDescent="0.25"/>
    <row r="76" spans="2:8" ht="16.05" customHeight="1" x14ac:dyDescent="0.25">
      <c r="B76" s="185" t="s">
        <v>1125</v>
      </c>
      <c r="C76" s="185"/>
      <c r="D76" s="185"/>
      <c r="E76" s="185"/>
      <c r="F76" s="185"/>
      <c r="G76" s="185"/>
      <c r="H76" s="185"/>
    </row>
    <row r="77" spans="2:8" ht="16.05" customHeight="1" x14ac:dyDescent="0.25">
      <c r="B77" s="60" t="s">
        <v>4</v>
      </c>
      <c r="C77" s="60" t="s">
        <v>155</v>
      </c>
      <c r="D77" s="60" t="s">
        <v>23</v>
      </c>
      <c r="E77" s="60" t="s">
        <v>24</v>
      </c>
      <c r="F77" s="60" t="s">
        <v>25</v>
      </c>
      <c r="G77" s="60" t="s">
        <v>393</v>
      </c>
      <c r="H77" s="60" t="s">
        <v>1035</v>
      </c>
    </row>
    <row r="78" spans="2:8" ht="16.05" customHeight="1" x14ac:dyDescent="0.25">
      <c r="B78" s="62" t="s">
        <v>1126</v>
      </c>
      <c r="C78" s="62" t="s">
        <v>1037</v>
      </c>
      <c r="D78" s="63">
        <f>D8</f>
        <v>1654.6692400000002</v>
      </c>
      <c r="E78" s="63">
        <f>E8</f>
        <v>1654.6692400000002</v>
      </c>
      <c r="F78" s="63">
        <f>F8</f>
        <v>1654.6692400000002</v>
      </c>
      <c r="G78" s="62" t="s">
        <v>398</v>
      </c>
      <c r="H78" s="62" t="s">
        <v>1127</v>
      </c>
    </row>
    <row r="79" spans="2:8" ht="16.05" customHeight="1" x14ac:dyDescent="0.25">
      <c r="B79" s="62" t="s">
        <v>1128</v>
      </c>
      <c r="C79" s="62" t="s">
        <v>1129</v>
      </c>
      <c r="D79" s="88">
        <f>D78*0.01</f>
        <v>16.546692400000001</v>
      </c>
      <c r="E79" s="88">
        <f>E78*0.01</f>
        <v>16.546692400000001</v>
      </c>
      <c r="F79" s="88">
        <f>F78*0.01</f>
        <v>16.546692400000001</v>
      </c>
      <c r="G79" s="62" t="s">
        <v>398</v>
      </c>
      <c r="H79" s="62" t="s">
        <v>1130</v>
      </c>
    </row>
    <row r="80" spans="2:8" ht="16.05" customHeight="1" x14ac:dyDescent="0.25">
      <c r="B80" s="62" t="s">
        <v>1131</v>
      </c>
      <c r="C80" s="62" t="s">
        <v>1132</v>
      </c>
      <c r="D80" s="83">
        <f>(D31+D32+D33)/D79</f>
        <v>0.47312105263157911</v>
      </c>
      <c r="E80" s="83">
        <f>(E31+E32+E33)/E79</f>
        <v>1.4193631578947372</v>
      </c>
      <c r="F80" s="83">
        <f>(F31+F32+F33)/F79</f>
        <v>2.365605263157895</v>
      </c>
      <c r="G80" s="62" t="s">
        <v>494</v>
      </c>
      <c r="H80" s="62" t="s">
        <v>1133</v>
      </c>
    </row>
    <row r="81" spans="2:8" ht="16.05" customHeight="1" x14ac:dyDescent="0.25">
      <c r="B81" s="62" t="s">
        <v>1134</v>
      </c>
      <c r="C81" s="62" t="s">
        <v>1135</v>
      </c>
      <c r="D81" s="83">
        <f>(D30+D35-D70)/D79</f>
        <v>0.29187019499304007</v>
      </c>
      <c r="E81" s="83">
        <f>(E30+E35-E70)/E79</f>
        <v>1.1632653587987287</v>
      </c>
      <c r="F81" s="83">
        <f>(F30+F35-F70)/F79</f>
        <v>2.1257719892710845</v>
      </c>
      <c r="G81" s="62" t="s">
        <v>494</v>
      </c>
      <c r="H81" s="62" t="s">
        <v>1136</v>
      </c>
    </row>
    <row r="82" spans="2:8" ht="16.05" customHeight="1" x14ac:dyDescent="0.25">
      <c r="B82" s="94" t="s">
        <v>1137</v>
      </c>
      <c r="C82" s="94" t="s">
        <v>1138</v>
      </c>
      <c r="D82" s="96">
        <f>D80+D81</f>
        <v>0.76499124762461923</v>
      </c>
      <c r="E82" s="96">
        <f>E80+E81</f>
        <v>2.5826285166934659</v>
      </c>
      <c r="F82" s="96">
        <f>F80+F81</f>
        <v>4.491377252428979</v>
      </c>
      <c r="G82" s="94" t="s">
        <v>494</v>
      </c>
      <c r="H82" s="94" t="s">
        <v>1139</v>
      </c>
    </row>
    <row r="83" spans="2:8" ht="16.05" customHeight="1" x14ac:dyDescent="0.25">
      <c r="B83" s="62" t="s">
        <v>1140</v>
      </c>
      <c r="C83" s="62" t="s">
        <v>1141</v>
      </c>
      <c r="D83" s="63">
        <f>'1. Assumptions and Sources'!$D$11*'1. Assumptions and Sources'!$D$8</f>
        <v>10205.9468</v>
      </c>
      <c r="E83" s="63">
        <f>'1. Assumptions and Sources'!$D$11*'1. Assumptions and Sources'!$D$8</f>
        <v>10205.9468</v>
      </c>
      <c r="F83" s="63">
        <f>'1. Assumptions and Sources'!$D$11*'1. Assumptions and Sources'!$D$8</f>
        <v>10205.9468</v>
      </c>
      <c r="G83" s="62" t="s">
        <v>398</v>
      </c>
      <c r="H83" s="62" t="s">
        <v>1142</v>
      </c>
    </row>
    <row r="84" spans="2:8" ht="16.05" customHeight="1" x14ac:dyDescent="0.25">
      <c r="B84" s="62" t="s">
        <v>1143</v>
      </c>
      <c r="C84" s="62" t="s">
        <v>1144</v>
      </c>
      <c r="D84" s="88">
        <f>D83*0.01</f>
        <v>102.059468</v>
      </c>
      <c r="E84" s="88">
        <f>E83*0.01</f>
        <v>102.059468</v>
      </c>
      <c r="F84" s="88">
        <f>F83*0.01</f>
        <v>102.059468</v>
      </c>
      <c r="G84" s="62" t="s">
        <v>398</v>
      </c>
      <c r="H84" s="62" t="s">
        <v>1145</v>
      </c>
    </row>
    <row r="85" spans="2:8" ht="16.05" customHeight="1" x14ac:dyDescent="0.25">
      <c r="B85" s="73" t="s">
        <v>1146</v>
      </c>
      <c r="C85" s="73" t="s">
        <v>1147</v>
      </c>
      <c r="D85" s="91">
        <f>(D31+D32+D33+D30+D35-D70)/D84</f>
        <v>0.12402646330800789</v>
      </c>
      <c r="E85" s="91">
        <f>(E31+E32+E33+E30+E35-E70)/E84</f>
        <v>0.4187162689226937</v>
      </c>
      <c r="F85" s="91">
        <f>(F31+F32+F33+F30+F35-F70)/F84</f>
        <v>0.72817778991655624</v>
      </c>
      <c r="G85" s="73" t="s">
        <v>494</v>
      </c>
      <c r="H85" s="73" t="s">
        <v>1148</v>
      </c>
    </row>
    <row r="86" spans="2:8" ht="16.05" customHeight="1" x14ac:dyDescent="0.25">
      <c r="B86" s="62" t="s">
        <v>1149</v>
      </c>
      <c r="C86" s="62" t="s">
        <v>1150</v>
      </c>
      <c r="D86" s="88">
        <f>D34</f>
        <v>0.19201517269511115</v>
      </c>
      <c r="E86" s="88">
        <f>E34</f>
        <v>0.57604551808533344</v>
      </c>
      <c r="F86" s="88">
        <f>F34</f>
        <v>0.96007586347555574</v>
      </c>
      <c r="G86" s="62" t="s">
        <v>398</v>
      </c>
      <c r="H86" s="62" t="s">
        <v>1151</v>
      </c>
    </row>
    <row r="87" spans="2:8" ht="16.05" customHeight="1" x14ac:dyDescent="0.25"/>
    <row r="88" spans="2:8" ht="16.05" customHeight="1" x14ac:dyDescent="0.25">
      <c r="B88" s="185" t="s">
        <v>1152</v>
      </c>
      <c r="C88" s="185"/>
      <c r="D88" s="185"/>
      <c r="E88" s="185"/>
      <c r="F88" s="185"/>
      <c r="G88" s="185"/>
      <c r="H88" s="185"/>
    </row>
    <row r="89" spans="2:8" ht="16.05" customHeight="1" x14ac:dyDescent="0.25">
      <c r="B89" s="60" t="s">
        <v>4</v>
      </c>
      <c r="C89" s="60" t="s">
        <v>1153</v>
      </c>
      <c r="D89" s="60" t="s">
        <v>23</v>
      </c>
      <c r="E89" s="60" t="s">
        <v>24</v>
      </c>
      <c r="F89" s="60" t="s">
        <v>25</v>
      </c>
      <c r="G89" s="60" t="s">
        <v>393</v>
      </c>
      <c r="H89" s="60" t="s">
        <v>1035</v>
      </c>
    </row>
    <row r="90" spans="2:8" ht="16.05" customHeight="1" x14ac:dyDescent="0.25">
      <c r="B90" s="62" t="s">
        <v>1154</v>
      </c>
      <c r="C90" s="62" t="s">
        <v>1155</v>
      </c>
      <c r="D90" s="88">
        <f>D13*D20*'1. Assumptions and Sources'!$D$92/10000000</f>
        <v>2.627371038726162</v>
      </c>
      <c r="E90" s="88">
        <f>E13*E20*'1. Assumptions and Sources'!$D$92/10000000</f>
        <v>7.8821131161784859</v>
      </c>
      <c r="F90" s="88">
        <f>F13*F20*'1. Assumptions and Sources'!$D$92/10000000</f>
        <v>13.13685519363081</v>
      </c>
      <c r="G90" s="62" t="s">
        <v>398</v>
      </c>
      <c r="H90" s="62" t="s">
        <v>1156</v>
      </c>
    </row>
    <row r="91" spans="2:8" ht="16.05" customHeight="1" x14ac:dyDescent="0.25">
      <c r="B91" s="62" t="s">
        <v>1157</v>
      </c>
      <c r="C91" s="62" t="s">
        <v>1158</v>
      </c>
      <c r="D91" s="88">
        <f>D15*'1. Assumptions and Sources'!$D$39*(1-(1-'1. Assumptions and Sources'!$D$93)/(1-'1. Assumptions and Sources'!$D$35))</f>
        <v>4.0929549969221055</v>
      </c>
      <c r="E91" s="88">
        <f>E15*'1. Assumptions and Sources'!$D$39*(1-(1-'1. Assumptions and Sources'!$D$93)/(1-'1. Assumptions and Sources'!$D$35))</f>
        <v>12.278864990766316</v>
      </c>
      <c r="F91" s="88">
        <f>F15*'1. Assumptions and Sources'!$D$39*(1-(1-'1. Assumptions and Sources'!$D$93)/(1-'1. Assumptions and Sources'!$D$35))</f>
        <v>20.464774984610525</v>
      </c>
      <c r="G91" s="62" t="s">
        <v>398</v>
      </c>
      <c r="H91" s="62" t="s">
        <v>1159</v>
      </c>
    </row>
    <row r="92" spans="2:8" ht="16.05" customHeight="1" x14ac:dyDescent="0.25">
      <c r="B92" s="62" t="s">
        <v>1160</v>
      </c>
      <c r="C92" s="62" t="s">
        <v>1161</v>
      </c>
      <c r="D92" s="88">
        <f>-D13*'1. Assumptions and Sources'!$D$42*('1. Assumptions and Sources'!$D$29-'1. Assumptions and Sources'!$D$28)*'1. Assumptions and Sources'!$D$92/10000000</f>
        <v>-6.5570438401484812E-2</v>
      </c>
      <c r="E92" s="88">
        <f>-E13*'1. Assumptions and Sources'!$D$42*('1. Assumptions and Sources'!$D$29-'1. Assumptions and Sources'!$D$28)*'1. Assumptions and Sources'!$D$92/10000000</f>
        <v>-0.19671131520445442</v>
      </c>
      <c r="F92" s="88">
        <f>-F13*'1. Assumptions and Sources'!$D$42*('1. Assumptions and Sources'!$D$29-'1. Assumptions and Sources'!$D$28)*'1. Assumptions and Sources'!$D$92/10000000</f>
        <v>-0.3278521920074241</v>
      </c>
      <c r="G92" s="62" t="s">
        <v>398</v>
      </c>
      <c r="H92" s="62" t="s">
        <v>1162</v>
      </c>
    </row>
    <row r="93" spans="2:8" ht="16.05" customHeight="1" x14ac:dyDescent="0.25">
      <c r="B93" s="97" t="s">
        <v>1163</v>
      </c>
      <c r="C93" s="97" t="s">
        <v>1164</v>
      </c>
      <c r="D93" s="98">
        <f>D90+D91+D92-D70</f>
        <v>4.1448734193383601</v>
      </c>
      <c r="E93" s="98">
        <f>E90+E91+E92-E70</f>
        <v>16.063660258015084</v>
      </c>
      <c r="F93" s="98">
        <f>F90+F91+F92-F70</f>
        <v>27.9824470966918</v>
      </c>
      <c r="G93" s="97" t="s">
        <v>398</v>
      </c>
      <c r="H93" s="97" t="s">
        <v>1165</v>
      </c>
    </row>
    <row r="94" spans="2:8" ht="16.05" customHeight="1" x14ac:dyDescent="0.25">
      <c r="B94" s="97" t="s">
        <v>1166</v>
      </c>
      <c r="C94" s="97" t="s">
        <v>1167</v>
      </c>
      <c r="D94" s="98">
        <f>D90+D92-D70</f>
        <v>5.191842241625455E-2</v>
      </c>
      <c r="E94" s="98">
        <f>E90+E92-E70</f>
        <v>3.7847952672487661</v>
      </c>
      <c r="F94" s="98">
        <f>F90+F92-F70</f>
        <v>7.5176721120812768</v>
      </c>
      <c r="G94" s="97" t="s">
        <v>398</v>
      </c>
      <c r="H94" s="97" t="s">
        <v>1168</v>
      </c>
    </row>
    <row r="95" spans="2:8" ht="16.05" customHeight="1" x14ac:dyDescent="0.25">
      <c r="B95" s="62" t="s">
        <v>1169</v>
      </c>
      <c r="C95" s="62" t="s">
        <v>1170</v>
      </c>
      <c r="D95" s="83">
        <f>D74</f>
        <v>9.2361716742100874</v>
      </c>
      <c r="E95" s="83">
        <f>E74</f>
        <v>2.7403745887720188</v>
      </c>
      <c r="F95" s="83">
        <f>F74</f>
        <v>1.5766413069170615</v>
      </c>
      <c r="G95" s="62" t="s">
        <v>533</v>
      </c>
      <c r="H95" s="62" t="s">
        <v>1171</v>
      </c>
    </row>
    <row r="96" spans="2:8" ht="16.05" customHeight="1" x14ac:dyDescent="0.25">
      <c r="B96" s="99" t="s">
        <v>1172</v>
      </c>
      <c r="C96" s="99" t="s">
        <v>1173</v>
      </c>
      <c r="D96" s="100">
        <f>IF(D93&gt;0,D73/(D93/12),"does not pay back")</f>
        <v>28.634321387538449</v>
      </c>
      <c r="E96" s="100">
        <f>IF(E93&gt;0,E73/(E93/12),"does not pay back")</f>
        <v>7.3884554138762324</v>
      </c>
      <c r="F96" s="100">
        <f>IF(F93&gt;0,F73/(F93/12),"does not pay back")</f>
        <v>4.2414316800059826</v>
      </c>
      <c r="G96" s="99" t="s">
        <v>533</v>
      </c>
      <c r="H96" s="99" t="s">
        <v>1174</v>
      </c>
    </row>
    <row r="97" spans="2:8" ht="16.05" customHeight="1" x14ac:dyDescent="0.25">
      <c r="B97" s="73" t="s">
        <v>1175</v>
      </c>
      <c r="C97" s="73" t="s">
        <v>1176</v>
      </c>
      <c r="D97" s="91">
        <f>IF(D94&gt;0,D73/(D94/12),"does not pay back")</f>
        <v>2286.0023875232787</v>
      </c>
      <c r="E97" s="91">
        <f>IF(E94&gt;0,E73/(E94/12),"does not pay back")</f>
        <v>31.358535725044565</v>
      </c>
      <c r="F97" s="91">
        <f>IF(F94&gt;0,F73/(F94/12),"does not pay back")</f>
        <v>15.787551762102826</v>
      </c>
      <c r="G97" s="73" t="s">
        <v>533</v>
      </c>
      <c r="H97" s="73" t="s">
        <v>1177</v>
      </c>
    </row>
    <row r="98" spans="2:8" ht="16.05" customHeight="1" x14ac:dyDescent="0.25"/>
    <row r="99" spans="2:8" ht="16.05" customHeight="1" x14ac:dyDescent="0.25">
      <c r="B99" s="59" t="s">
        <v>1178</v>
      </c>
    </row>
    <row r="100" spans="2:8" ht="16.05" customHeight="1" x14ac:dyDescent="0.25">
      <c r="B100" s="60" t="s">
        <v>4</v>
      </c>
      <c r="C100" s="60" t="s">
        <v>155</v>
      </c>
      <c r="D100" s="60" t="s">
        <v>23</v>
      </c>
      <c r="E100" s="60" t="s">
        <v>24</v>
      </c>
      <c r="F100" s="60" t="s">
        <v>25</v>
      </c>
      <c r="G100" s="60" t="s">
        <v>393</v>
      </c>
      <c r="H100" s="60" t="s">
        <v>1035</v>
      </c>
    </row>
    <row r="101" spans="2:8" ht="16.05" customHeight="1" x14ac:dyDescent="0.25">
      <c r="B101" s="62" t="s">
        <v>1179</v>
      </c>
      <c r="C101" s="62" t="s">
        <v>1180</v>
      </c>
      <c r="D101" s="88">
        <f>D30+D35</f>
        <v>7.3393685151862771</v>
      </c>
      <c r="E101" s="88">
        <f>E30+E35</f>
        <v>23.148800605343467</v>
      </c>
      <c r="F101" s="88">
        <f>F30+F35</f>
        <v>40.46582610854685</v>
      </c>
      <c r="G101" s="62" t="s">
        <v>398</v>
      </c>
      <c r="H101" s="62" t="s">
        <v>1181</v>
      </c>
    </row>
    <row r="102" spans="2:8" ht="16.05" customHeight="1" x14ac:dyDescent="0.25">
      <c r="B102" s="62" t="s">
        <v>1182</v>
      </c>
      <c r="C102" s="62" t="s">
        <v>1183</v>
      </c>
      <c r="D102" s="88">
        <f>D31+D32+D33</f>
        <v>7.8285885258589509</v>
      </c>
      <c r="E102" s="88">
        <f>E31+E32+E33</f>
        <v>23.485765577576849</v>
      </c>
      <c r="F102" s="88">
        <f>F31+F32+F33</f>
        <v>39.142942629294744</v>
      </c>
      <c r="G102" s="62" t="s">
        <v>398</v>
      </c>
      <c r="H102" s="62" t="s">
        <v>1184</v>
      </c>
    </row>
    <row r="103" spans="2:8" ht="16.05" customHeight="1" x14ac:dyDescent="0.25">
      <c r="B103" s="62" t="s">
        <v>1185</v>
      </c>
      <c r="C103" s="62" t="s">
        <v>1186</v>
      </c>
      <c r="D103" s="88">
        <f>D34</f>
        <v>0.19201517269511115</v>
      </c>
      <c r="E103" s="88">
        <f>E34</f>
        <v>0.57604551808533344</v>
      </c>
      <c r="F103" s="88">
        <f>F34</f>
        <v>0.96007586347555574</v>
      </c>
      <c r="G103" s="62" t="s">
        <v>398</v>
      </c>
      <c r="H103" s="62" t="s">
        <v>1187</v>
      </c>
    </row>
    <row r="104" spans="2:8" ht="16.05" customHeight="1" x14ac:dyDescent="0.25">
      <c r="B104" s="62" t="s">
        <v>1188</v>
      </c>
      <c r="C104" s="62" t="s">
        <v>1189</v>
      </c>
      <c r="D104" s="88">
        <f>-D65</f>
        <v>-2.5098821779084224</v>
      </c>
      <c r="E104" s="88">
        <f>-E65</f>
        <v>-3.9006065337252656</v>
      </c>
      <c r="F104" s="88">
        <f>-F65</f>
        <v>-5.2913308895421096</v>
      </c>
      <c r="G104" s="62" t="s">
        <v>398</v>
      </c>
      <c r="H104" s="62" t="s">
        <v>1190</v>
      </c>
    </row>
    <row r="105" spans="2:8" ht="16.05" customHeight="1" x14ac:dyDescent="0.25">
      <c r="B105" s="62" t="s">
        <v>1191</v>
      </c>
      <c r="C105" s="62" t="s">
        <v>1192</v>
      </c>
      <c r="D105" s="88">
        <f>D101+D102+D103+D104-D71</f>
        <v>0</v>
      </c>
      <c r="E105" s="88">
        <f>E101+E102+E103+E104-E71</f>
        <v>0</v>
      </c>
      <c r="F105" s="88">
        <f>F101+F102+F103+F104-F71</f>
        <v>0</v>
      </c>
      <c r="G105" s="62" t="s">
        <v>398</v>
      </c>
      <c r="H105" s="62" t="s">
        <v>1193</v>
      </c>
    </row>
    <row r="106" spans="2:8" ht="16.05" customHeight="1" x14ac:dyDescent="0.25">
      <c r="B106" s="62" t="s">
        <v>1194</v>
      </c>
      <c r="C106" s="62" t="s">
        <v>1195</v>
      </c>
      <c r="D106" s="83">
        <f>D22-D23</f>
        <v>7.09</v>
      </c>
      <c r="E106" s="83">
        <f>E22-E23</f>
        <v>7.09</v>
      </c>
      <c r="F106" s="83">
        <f>F22-F23</f>
        <v>7.09</v>
      </c>
      <c r="G106" s="62" t="s">
        <v>474</v>
      </c>
      <c r="H106" s="62" t="s">
        <v>1196</v>
      </c>
    </row>
    <row r="107" spans="2:8" ht="16.05" customHeight="1" x14ac:dyDescent="0.25">
      <c r="B107" s="62" t="s">
        <v>1197</v>
      </c>
      <c r="C107" s="62" t="s">
        <v>1198</v>
      </c>
      <c r="D107" s="67">
        <f>D13*D106</f>
        <v>388967.87840238231</v>
      </c>
      <c r="E107" s="67">
        <f>E13*E106</f>
        <v>1166903.6352071466</v>
      </c>
      <c r="F107" s="67">
        <f>F13*F106</f>
        <v>1944839.3920119114</v>
      </c>
      <c r="G107" s="62" t="s">
        <v>474</v>
      </c>
      <c r="H107" s="62" t="s">
        <v>1199</v>
      </c>
    </row>
    <row r="108" spans="2:8" ht="16.05" customHeight="1" x14ac:dyDescent="0.25">
      <c r="B108" s="62" t="s">
        <v>1200</v>
      </c>
      <c r="C108" s="62" t="s">
        <v>1201</v>
      </c>
      <c r="D108" s="67">
        <f>D13*'1. Assumptions and Sources'!$D$25</f>
        <v>35659.960643377788</v>
      </c>
      <c r="E108" s="67">
        <f>E13*'1. Assumptions and Sources'!$D$25</f>
        <v>106979.88193013334</v>
      </c>
      <c r="F108" s="67">
        <f>F13*'1. Assumptions and Sources'!$D$25</f>
        <v>178299.80321688892</v>
      </c>
      <c r="G108" s="62" t="s">
        <v>931</v>
      </c>
      <c r="H108" s="62" t="s">
        <v>1202</v>
      </c>
    </row>
    <row r="109" spans="2:8" ht="16.05" customHeight="1" x14ac:dyDescent="0.25">
      <c r="B109" s="62" t="s">
        <v>1203</v>
      </c>
      <c r="C109" s="62" t="s">
        <v>192</v>
      </c>
      <c r="D109" s="67">
        <f>D13-D108</f>
        <v>19201.51726951111</v>
      </c>
      <c r="E109" s="67">
        <f>E13-E108</f>
        <v>57604.551808533331</v>
      </c>
      <c r="F109" s="67">
        <f>F13-F108</f>
        <v>96007.586347555567</v>
      </c>
      <c r="G109" s="62" t="s">
        <v>931</v>
      </c>
      <c r="H109" s="62" t="s">
        <v>1204</v>
      </c>
    </row>
    <row r="110" spans="2:8" ht="16.05" customHeight="1" x14ac:dyDescent="0.25">
      <c r="B110" s="62" t="s">
        <v>1205</v>
      </c>
      <c r="C110" s="62" t="s">
        <v>1206</v>
      </c>
      <c r="D110" s="84">
        <f>1-D12</f>
        <v>0.8</v>
      </c>
      <c r="E110" s="84">
        <f>1-E12</f>
        <v>0.4</v>
      </c>
      <c r="F110" s="84">
        <f>1-F12</f>
        <v>0</v>
      </c>
      <c r="G110" s="62" t="s">
        <v>403</v>
      </c>
      <c r="H110" s="62" t="s">
        <v>1207</v>
      </c>
    </row>
    <row r="111" spans="2:8" ht="16.05" customHeight="1" x14ac:dyDescent="0.25">
      <c r="B111" s="62" t="s">
        <v>1208</v>
      </c>
      <c r="C111" s="62" t="s">
        <v>209</v>
      </c>
      <c r="D111" s="67">
        <f>D13*D20</f>
        <v>316550.72755736893</v>
      </c>
      <c r="E111" s="67">
        <f>E13*E20</f>
        <v>949652.18267210666</v>
      </c>
      <c r="F111" s="67">
        <f>F13*F20</f>
        <v>1582753.6377868445</v>
      </c>
      <c r="G111" s="62" t="s">
        <v>452</v>
      </c>
      <c r="H111" s="62" t="s">
        <v>1209</v>
      </c>
    </row>
    <row r="112" spans="2:8" ht="16.05" customHeight="1" x14ac:dyDescent="0.25">
      <c r="B112" s="62" t="s">
        <v>1210</v>
      </c>
      <c r="C112" s="62" t="s">
        <v>1211</v>
      </c>
      <c r="D112" s="67">
        <f>D111*'1. Assumptions and Sources'!$D$124/60</f>
        <v>105516.90918578966</v>
      </c>
      <c r="E112" s="67">
        <f>E111*'1. Assumptions and Sources'!$D$124/60</f>
        <v>316550.72755736887</v>
      </c>
      <c r="F112" s="67">
        <f>F111*'1. Assumptions and Sources'!$D$124/60</f>
        <v>527584.54592894821</v>
      </c>
      <c r="G112" s="62" t="s">
        <v>604</v>
      </c>
      <c r="H112" s="62" t="s">
        <v>1212</v>
      </c>
    </row>
    <row r="113" spans="2:8" ht="16.05" customHeight="1" x14ac:dyDescent="0.25">
      <c r="B113" s="62" t="s">
        <v>1213</v>
      </c>
      <c r="C113" s="62" t="s">
        <v>1214</v>
      </c>
      <c r="D113" s="83">
        <f>D112/'1. Assumptions and Sources'!$D$125</f>
        <v>58.620505103216473</v>
      </c>
      <c r="E113" s="83">
        <f>E112/'1. Assumptions and Sources'!$D$125</f>
        <v>175.86151530964938</v>
      </c>
      <c r="F113" s="83">
        <f>F112/'1. Assumptions and Sources'!$D$125</f>
        <v>293.10252551608232</v>
      </c>
      <c r="G113" s="62" t="s">
        <v>1215</v>
      </c>
      <c r="H113" s="62" t="s">
        <v>1216</v>
      </c>
    </row>
    <row r="114" spans="2:8" ht="16.05" customHeight="1" x14ac:dyDescent="0.25">
      <c r="B114" s="62" t="s">
        <v>1217</v>
      </c>
      <c r="C114" s="62" t="s">
        <v>218</v>
      </c>
      <c r="D114" s="83">
        <f>('1. Assumptions and Sources'!$D$24)/D19</f>
        <v>5.691056910569106</v>
      </c>
      <c r="E114" s="83">
        <f>('1. Assumptions and Sources'!$D$24)/E19</f>
        <v>5.691056910569106</v>
      </c>
      <c r="F114" s="83">
        <f>('1. Assumptions and Sources'!$D$24)/F19</f>
        <v>5.691056910569106</v>
      </c>
      <c r="G114" s="62" t="s">
        <v>433</v>
      </c>
      <c r="H114" s="62" t="s">
        <v>1218</v>
      </c>
    </row>
    <row r="115" spans="2:8" ht="16.05" customHeight="1" x14ac:dyDescent="0.25">
      <c r="B115" s="62" t="s">
        <v>1219</v>
      </c>
      <c r="C115" s="62" t="s">
        <v>1220</v>
      </c>
      <c r="D115" s="67">
        <f>D13*'1. Assumptions and Sources'!$D$126</f>
        <v>30173.812852088897</v>
      </c>
      <c r="E115" s="67">
        <f>E13*'1. Assumptions and Sources'!$D$126</f>
        <v>90521.438556266672</v>
      </c>
      <c r="F115" s="67">
        <f>F13*'1. Assumptions and Sources'!$D$126</f>
        <v>150869.06426044449</v>
      </c>
      <c r="G115" s="62" t="s">
        <v>931</v>
      </c>
      <c r="H115" s="62" t="s">
        <v>1221</v>
      </c>
    </row>
    <row r="116" spans="2:8" ht="16.05" customHeight="1" x14ac:dyDescent="0.25">
      <c r="B116" s="62" t="s">
        <v>1222</v>
      </c>
      <c r="C116" s="62" t="s">
        <v>1223</v>
      </c>
      <c r="D116" s="67">
        <f>D13*'1. Assumptions and Sources'!$D$127</f>
        <v>5486.1477912888904</v>
      </c>
      <c r="E116" s="67">
        <f>E13*'1. Assumptions and Sources'!$D$127</f>
        <v>16458.443373866667</v>
      </c>
      <c r="F116" s="67">
        <f>F13*'1. Assumptions and Sources'!$D$127</f>
        <v>27430.738956444449</v>
      </c>
      <c r="G116" s="62" t="s">
        <v>931</v>
      </c>
      <c r="H116" s="62" t="s">
        <v>1224</v>
      </c>
    </row>
    <row r="117" spans="2:8" ht="16.05" customHeight="1" x14ac:dyDescent="0.25">
      <c r="B117" s="62" t="s">
        <v>1225</v>
      </c>
      <c r="C117" s="62" t="s">
        <v>1226</v>
      </c>
      <c r="D117" s="67">
        <f>D115-D116</f>
        <v>24687.665060800005</v>
      </c>
      <c r="E117" s="67">
        <f>E115-E116</f>
        <v>74062.995182400002</v>
      </c>
      <c r="F117" s="67">
        <f>F115-F116</f>
        <v>123438.32530400004</v>
      </c>
      <c r="G117" s="62" t="s">
        <v>737</v>
      </c>
      <c r="H117" s="62" t="s">
        <v>1227</v>
      </c>
    </row>
    <row r="118" spans="2:8" ht="16.05" customHeight="1" x14ac:dyDescent="0.25">
      <c r="B118" s="62" t="s">
        <v>1228</v>
      </c>
      <c r="C118" s="62" t="s">
        <v>1229</v>
      </c>
      <c r="D118" s="83">
        <f>'1. Assumptions and Sources'!$D$129-'1. Assumptions and Sources'!$D$130</f>
        <v>3</v>
      </c>
      <c r="E118" s="83">
        <f>'1. Assumptions and Sources'!$D$129-'1. Assumptions and Sources'!$D$130</f>
        <v>3</v>
      </c>
      <c r="F118" s="83">
        <f>'1. Assumptions and Sources'!$D$129-'1. Assumptions and Sources'!$D$130</f>
        <v>3</v>
      </c>
      <c r="G118" s="62" t="s">
        <v>474</v>
      </c>
      <c r="H118" s="62" t="s">
        <v>1230</v>
      </c>
    </row>
    <row r="119" spans="2:8" ht="16.05" customHeight="1" x14ac:dyDescent="0.25">
      <c r="B119" s="62" t="s">
        <v>1231</v>
      </c>
      <c r="C119" s="62" t="s">
        <v>1232</v>
      </c>
      <c r="D119" s="88">
        <f>$D$49+$D$54</f>
        <v>1.0013452</v>
      </c>
      <c r="E119" s="88">
        <f>$D$49+$D$54</f>
        <v>1.0013452</v>
      </c>
      <c r="F119" s="88">
        <f>$D$49+$D$54</f>
        <v>1.0013452</v>
      </c>
      <c r="G119" s="62" t="s">
        <v>398</v>
      </c>
      <c r="H119" s="62" t="s">
        <v>1233</v>
      </c>
    </row>
    <row r="120" spans="2:8" ht="16.05" customHeight="1" x14ac:dyDescent="0.25">
      <c r="B120" s="62" t="s">
        <v>1234</v>
      </c>
      <c r="C120" s="62" t="s">
        <v>1235</v>
      </c>
      <c r="D120" s="88">
        <f>$D$42+$D$43+$D$44+$D$52</f>
        <v>1.9148541000000003</v>
      </c>
      <c r="E120" s="88">
        <f>$D$42+$D$43+$D$44+$D$52</f>
        <v>1.9148541000000003</v>
      </c>
      <c r="F120" s="88">
        <f>$D$42+$D$43+$D$44+$D$52</f>
        <v>1.9148541000000003</v>
      </c>
      <c r="G120" s="62" t="s">
        <v>398</v>
      </c>
      <c r="H120" s="62" t="s">
        <v>1236</v>
      </c>
    </row>
    <row r="121" spans="2:8" ht="16.05" customHeight="1" x14ac:dyDescent="0.25">
      <c r="B121" s="62" t="s">
        <v>1237</v>
      </c>
      <c r="C121" s="62" t="s">
        <v>1238</v>
      </c>
      <c r="D121" s="88">
        <f>D63+D64</f>
        <v>0.36999959999999998</v>
      </c>
      <c r="E121" s="88">
        <f>E63+E64</f>
        <v>0.36999959999999998</v>
      </c>
      <c r="F121" s="88">
        <f>F63+F64</f>
        <v>0.36999959999999998</v>
      </c>
      <c r="G121" s="62" t="s">
        <v>398</v>
      </c>
      <c r="H121" s="62" t="s">
        <v>1239</v>
      </c>
    </row>
    <row r="122" spans="2:8" ht="16.05" customHeight="1" x14ac:dyDescent="0.25">
      <c r="B122" s="62" t="s">
        <v>1240</v>
      </c>
      <c r="C122" s="62" t="s">
        <v>1241</v>
      </c>
      <c r="D122" s="84">
        <f>($D$119+$D$120)/$D$55</f>
        <v>0.29484942161190364</v>
      </c>
      <c r="E122" s="84">
        <f>($D$119+$D$120)/$D$55</f>
        <v>0.29484942161190364</v>
      </c>
      <c r="F122" s="84">
        <f>($D$119+$D$120)/$D$55</f>
        <v>0.29484942161190364</v>
      </c>
      <c r="G122" s="62" t="s">
        <v>403</v>
      </c>
      <c r="H122" s="62" t="s">
        <v>1242</v>
      </c>
    </row>
    <row r="123" spans="2:8" ht="16.05" customHeight="1" x14ac:dyDescent="0.25">
      <c r="B123" s="62" t="s">
        <v>1243</v>
      </c>
      <c r="C123" s="62" t="s">
        <v>1244</v>
      </c>
      <c r="D123" s="67">
        <f>D13*'1. Assumptions and Sources'!$D$42</f>
        <v>4388.9182330311123</v>
      </c>
      <c r="E123" s="67">
        <f>E13*'1. Assumptions and Sources'!$D$42</f>
        <v>13166.754699093333</v>
      </c>
      <c r="F123" s="67">
        <f>F13*'1. Assumptions and Sources'!$D$42</f>
        <v>21944.591165155558</v>
      </c>
      <c r="G123" s="62" t="s">
        <v>931</v>
      </c>
      <c r="H123" s="62" t="s">
        <v>1245</v>
      </c>
    </row>
    <row r="124" spans="2:8" ht="16.05" customHeight="1" x14ac:dyDescent="0.25">
      <c r="B124" s="62" t="s">
        <v>1246</v>
      </c>
      <c r="C124" s="62" t="s">
        <v>1247</v>
      </c>
      <c r="D124" s="88">
        <f>-D35</f>
        <v>0.23700158458368006</v>
      </c>
      <c r="E124" s="88">
        <f>-E35</f>
        <v>0.59250396145920003</v>
      </c>
      <c r="F124" s="88">
        <f>-F35</f>
        <v>0.79000528194560016</v>
      </c>
      <c r="G124" s="62" t="s">
        <v>398</v>
      </c>
      <c r="H124" s="62" t="s">
        <v>1248</v>
      </c>
    </row>
    <row r="125" spans="2:8" ht="16.05" customHeight="1" x14ac:dyDescent="0.25">
      <c r="B125" s="62" t="s">
        <v>1249</v>
      </c>
      <c r="C125" s="62" t="s">
        <v>1250</v>
      </c>
      <c r="D125" s="84">
        <f>D124/D36</f>
        <v>1.5429818575561558E-2</v>
      </c>
      <c r="E125" s="84">
        <f>E124/E36</f>
        <v>1.2550228436175479E-2</v>
      </c>
      <c r="F125" s="84">
        <f>F124/F36</f>
        <v>9.8053445578724988E-3</v>
      </c>
      <c r="G125" s="62" t="s">
        <v>403</v>
      </c>
      <c r="H125" s="62" t="s">
        <v>1251</v>
      </c>
    </row>
    <row r="126" spans="2:8" ht="16.05" customHeight="1" x14ac:dyDescent="0.25">
      <c r="B126" s="62" t="s">
        <v>1252</v>
      </c>
      <c r="C126" s="62" t="s">
        <v>1253</v>
      </c>
      <c r="D126" s="88">
        <f>$D$55</f>
        <v>9.8904698000000018</v>
      </c>
      <c r="E126" s="88">
        <f>$D$55</f>
        <v>9.8904698000000018</v>
      </c>
      <c r="F126" s="88">
        <f>$D$55</f>
        <v>9.8904698000000018</v>
      </c>
      <c r="G126" s="62" t="s">
        <v>398</v>
      </c>
      <c r="H126" s="62" t="s">
        <v>1254</v>
      </c>
    </row>
    <row r="127" spans="2:8" ht="16.05" customHeight="1" x14ac:dyDescent="0.25">
      <c r="B127" s="62" t="s">
        <v>1255</v>
      </c>
      <c r="C127" s="62" t="s">
        <v>1256</v>
      </c>
      <c r="D127" s="88">
        <f>D101+D102-D65</f>
        <v>12.658074863136804</v>
      </c>
      <c r="E127" s="88">
        <f>E101+E102-E65</f>
        <v>42.73395964919505</v>
      </c>
      <c r="F127" s="88">
        <f>F101+F102-F65</f>
        <v>74.317437848299477</v>
      </c>
      <c r="G127" s="62" t="s">
        <v>398</v>
      </c>
      <c r="H127" s="62" t="s">
        <v>1257</v>
      </c>
    </row>
    <row r="128" spans="2:8" ht="16.05" customHeight="1" x14ac:dyDescent="0.25">
      <c r="B128" s="62" t="s">
        <v>1258</v>
      </c>
      <c r="C128" s="62" t="s">
        <v>1259</v>
      </c>
      <c r="D128" s="88">
        <f>D103</f>
        <v>0.19201517269511115</v>
      </c>
      <c r="E128" s="88">
        <f>E103</f>
        <v>0.57604551808533344</v>
      </c>
      <c r="F128" s="88">
        <f>F103</f>
        <v>0.96007586347555574</v>
      </c>
      <c r="G128" s="62" t="s">
        <v>398</v>
      </c>
      <c r="H128" s="62" t="s">
        <v>1260</v>
      </c>
    </row>
    <row r="129" spans="2:8" ht="16.05" customHeight="1" x14ac:dyDescent="0.25">
      <c r="B129" s="62" t="s">
        <v>1261</v>
      </c>
      <c r="C129" s="62" t="s">
        <v>1262</v>
      </c>
      <c r="D129" s="88">
        <f>D127+D128</f>
        <v>12.850090035831915</v>
      </c>
      <c r="E129" s="88">
        <f>E127+E128</f>
        <v>43.31000516728038</v>
      </c>
      <c r="F129" s="88">
        <f>F127+F128</f>
        <v>75.277513711775029</v>
      </c>
      <c r="G129" s="62" t="s">
        <v>398</v>
      </c>
      <c r="H129" s="62" t="s">
        <v>1263</v>
      </c>
    </row>
    <row r="130" spans="2:8" ht="16.05" customHeight="1" x14ac:dyDescent="0.25">
      <c r="B130" s="62" t="s">
        <v>1264</v>
      </c>
      <c r="C130" s="62" t="s">
        <v>265</v>
      </c>
      <c r="D130" s="88">
        <f>'1. Assumptions and Sources'!$D$139</f>
        <v>427.48711340206188</v>
      </c>
      <c r="E130" s="88">
        <f>'1. Assumptions and Sources'!$D$139</f>
        <v>427.48711340206188</v>
      </c>
      <c r="F130" s="88">
        <f>'1. Assumptions and Sources'!$D$139</f>
        <v>427.48711340206188</v>
      </c>
      <c r="G130" s="62" t="s">
        <v>398</v>
      </c>
      <c r="H130" s="62" t="s">
        <v>1265</v>
      </c>
    </row>
    <row r="131" spans="2:8" ht="16.05" customHeight="1" x14ac:dyDescent="0.25">
      <c r="B131" s="62" t="s">
        <v>1266</v>
      </c>
      <c r="C131" s="62" t="s">
        <v>268</v>
      </c>
      <c r="D131" s="88">
        <f>'1. Assumptions and Sources'!$D$135*4</f>
        <v>520</v>
      </c>
      <c r="E131" s="88">
        <f>'1. Assumptions and Sources'!$D$135*4</f>
        <v>520</v>
      </c>
      <c r="F131" s="88">
        <f>'1. Assumptions and Sources'!$D$135*4</f>
        <v>520</v>
      </c>
      <c r="G131" s="62" t="s">
        <v>398</v>
      </c>
      <c r="H131" s="62" t="s">
        <v>1267</v>
      </c>
    </row>
    <row r="132" spans="2:8" ht="16.05" customHeight="1" x14ac:dyDescent="0.25">
      <c r="B132" s="62" t="s">
        <v>1268</v>
      </c>
      <c r="C132" s="62" t="s">
        <v>1269</v>
      </c>
      <c r="D132" s="84">
        <f>D71/D131</f>
        <v>2.4711711607369069E-2</v>
      </c>
      <c r="E132" s="84">
        <f>E71/E131</f>
        <v>8.3288471475539222E-2</v>
      </c>
      <c r="F132" s="84">
        <f>F71/F131</f>
        <v>0.14476444944572123</v>
      </c>
      <c r="G132" s="62" t="s">
        <v>403</v>
      </c>
      <c r="H132" s="62" t="s">
        <v>1270</v>
      </c>
    </row>
    <row r="133" spans="2:8" ht="16.05" customHeight="1" x14ac:dyDescent="0.25">
      <c r="B133" s="62" t="s">
        <v>1271</v>
      </c>
      <c r="C133" s="62" t="s">
        <v>1272</v>
      </c>
      <c r="D133" s="67">
        <f>D13*'1. Assumptions and Sources'!$D$24*'1. Assumptions and Sources'!$D$124/60</f>
        <v>128010.11513007409</v>
      </c>
      <c r="E133" s="67">
        <f>E13*'1. Assumptions and Sources'!$D$24*'1. Assumptions and Sources'!$D$124/60</f>
        <v>384030.34539022227</v>
      </c>
      <c r="F133" s="67">
        <f>F13*'1. Assumptions and Sources'!$D$24*'1. Assumptions and Sources'!$D$124/60</f>
        <v>640050.57565037045</v>
      </c>
      <c r="G133" s="62" t="s">
        <v>604</v>
      </c>
      <c r="H133" s="62" t="s">
        <v>1273</v>
      </c>
    </row>
    <row r="134" spans="2:8" ht="16.05" customHeight="1" x14ac:dyDescent="0.25">
      <c r="B134" s="62" t="s">
        <v>1274</v>
      </c>
      <c r="C134" s="62" t="s">
        <v>1275</v>
      </c>
      <c r="D134" s="67">
        <f>D13*D19*'1. Assumptions and Sources'!$D$124/60</f>
        <v>22493.205944284447</v>
      </c>
      <c r="E134" s="67">
        <f>E13*E19*'1. Assumptions and Sources'!$D$124/60</f>
        <v>67479.617832853328</v>
      </c>
      <c r="F134" s="67">
        <f>F13*F19*'1. Assumptions and Sources'!$D$124/60</f>
        <v>112466.02972142225</v>
      </c>
      <c r="G134" s="62" t="s">
        <v>604</v>
      </c>
      <c r="H134" s="62" t="s">
        <v>1276</v>
      </c>
    </row>
    <row r="135" spans="2:8" ht="16.05" customHeight="1" x14ac:dyDescent="0.25"/>
    <row r="136" spans="2:8" ht="16.05" customHeight="1" x14ac:dyDescent="0.25">
      <c r="B136" s="80" t="s">
        <v>1277</v>
      </c>
      <c r="C136" s="80"/>
      <c r="D136" s="80"/>
      <c r="E136" s="80"/>
      <c r="F136" s="80"/>
      <c r="G136" s="80"/>
      <c r="H136" s="80"/>
    </row>
    <row r="137" spans="2:8" ht="16.05" customHeight="1" x14ac:dyDescent="0.25">
      <c r="B137" s="60" t="s">
        <v>4</v>
      </c>
      <c r="C137" s="60" t="s">
        <v>155</v>
      </c>
      <c r="D137" s="60" t="s">
        <v>23</v>
      </c>
      <c r="E137" s="60" t="s">
        <v>24</v>
      </c>
      <c r="F137" s="60" t="s">
        <v>25</v>
      </c>
      <c r="G137" s="60" t="s">
        <v>393</v>
      </c>
      <c r="H137" s="60" t="s">
        <v>1035</v>
      </c>
    </row>
    <row r="138" spans="2:8" ht="16.05" customHeight="1" x14ac:dyDescent="0.25">
      <c r="B138" s="62" t="s">
        <v>1278</v>
      </c>
      <c r="C138" s="62" t="s">
        <v>1279</v>
      </c>
      <c r="D138" s="83">
        <f>(D65*10000000/D13+D19*'1. Assumptions and Sources'!D$55)/'1. Assumptions and Sources'!$D$51</f>
        <v>3.3059778083949594</v>
      </c>
      <c r="E138" s="83">
        <f>(E65*10000000/E13+E19*'1. Assumptions and Sources'!E$55)/'1. Assumptions and Sources'!$D$51</f>
        <v>2.1779891737316528</v>
      </c>
      <c r="F138" s="83">
        <f>(F65*10000000/F13+F19*'1. Assumptions and Sources'!F$55)/'1. Assumptions and Sources'!$D$51</f>
        <v>1.7555914467989919</v>
      </c>
      <c r="G138" s="62" t="s">
        <v>452</v>
      </c>
      <c r="H138" s="62" t="s">
        <v>1280</v>
      </c>
    </row>
    <row r="139" spans="2:8" ht="16.05" customHeight="1" x14ac:dyDescent="0.25">
      <c r="B139" s="62" t="s">
        <v>1281</v>
      </c>
      <c r="C139" s="62" t="s">
        <v>1282</v>
      </c>
      <c r="D139" s="84">
        <f>1-D138/'1. Assumptions and Sources'!$F$147</f>
        <v>0.52771745594357722</v>
      </c>
      <c r="E139" s="84">
        <f>1-E138/'1. Assumptions and Sources'!$F$147</f>
        <v>0.68885868946690676</v>
      </c>
      <c r="F139" s="84">
        <f>1-F138/'1. Assumptions and Sources'!$F$147</f>
        <v>0.74920122188585836</v>
      </c>
      <c r="G139" s="62" t="s">
        <v>403</v>
      </c>
      <c r="H139" s="62" t="s">
        <v>1283</v>
      </c>
    </row>
    <row r="140" spans="2:8" ht="16.05" customHeight="1" x14ac:dyDescent="0.25">
      <c r="B140" s="62" t="s">
        <v>1284</v>
      </c>
      <c r="C140" s="62" t="s">
        <v>1285</v>
      </c>
      <c r="D140" s="83">
        <f>(D65*10000000/D13+D19*'1. Assumptions and Sources'!D$55)/'1. Assumptions and Sources'!$D$24</f>
        <v>118.0706360141057</v>
      </c>
      <c r="E140" s="83">
        <f>(E65*10000000/E13+E19*'1. Assumptions and Sources'!E$55)/'1. Assumptions and Sources'!$D$24</f>
        <v>77.785327633273326</v>
      </c>
      <c r="F140" s="83">
        <f>(F65*10000000/F13+F19*'1. Assumptions and Sources'!F$55)/'1. Assumptions and Sources'!$D$24</f>
        <v>62.699694528535424</v>
      </c>
      <c r="G140" s="62" t="s">
        <v>437</v>
      </c>
      <c r="H140" s="62" t="s">
        <v>1286</v>
      </c>
    </row>
    <row r="141" spans="2:8" ht="16.05" customHeight="1" x14ac:dyDescent="0.25">
      <c r="B141" s="62" t="s">
        <v>1287</v>
      </c>
      <c r="C141" s="62" t="s">
        <v>1288</v>
      </c>
      <c r="D141" s="84">
        <f>1-D140/'1. Assumptions and Sources'!$D$51</f>
        <v>0.52771745594357722</v>
      </c>
      <c r="E141" s="84">
        <f>1-E140/'1. Assumptions and Sources'!$D$51</f>
        <v>0.68885868946690665</v>
      </c>
      <c r="F141" s="84">
        <f>1-F140/'1. Assumptions and Sources'!$D$51</f>
        <v>0.74920122188585836</v>
      </c>
      <c r="G141" s="62" t="s">
        <v>403</v>
      </c>
      <c r="H141" s="62" t="s">
        <v>1289</v>
      </c>
    </row>
    <row r="142" spans="2:8" ht="16.05" customHeight="1" x14ac:dyDescent="0.25">
      <c r="B142" s="62" t="s">
        <v>1290</v>
      </c>
      <c r="C142" s="62" t="s">
        <v>1291</v>
      </c>
      <c r="D142" s="84">
        <f>'5. Investor Metrics'!D17</f>
        <v>0.34021149031996528</v>
      </c>
      <c r="E142" s="84">
        <f>'5. Investor Metrics'!E17</f>
        <v>0.32430954374473087</v>
      </c>
      <c r="F142" s="84">
        <f>'5. Investor Metrics'!F17</f>
        <v>0.30982777331946865</v>
      </c>
      <c r="G142" s="62" t="s">
        <v>403</v>
      </c>
      <c r="H142" s="62" t="s">
        <v>1292</v>
      </c>
    </row>
    <row r="143" spans="2:8" ht="16.05" customHeight="1" x14ac:dyDescent="0.25">
      <c r="B143" s="62" t="s">
        <v>1293</v>
      </c>
      <c r="C143" s="62" t="s">
        <v>1294</v>
      </c>
      <c r="D143" s="84" t="str">
        <f>IF(D12&gt;D142,1-D142/D12,"Plan rollout sits below the labour-only break-even; the case at this plan is carried by the fraud and gate lines")</f>
        <v>Plan rollout sits below the labour-only break-even; the case at this plan is carried by the fraud and gate lines</v>
      </c>
      <c r="E143" s="84">
        <f>IF(E12&gt;E142,1-E142/E12,"Plan rollout sits below the labour-only break-even; the case at this plan is carried by the fraud and gate lines")</f>
        <v>0.45948409375878185</v>
      </c>
      <c r="F143" s="84">
        <f>IF(F12&gt;F142,1-F142/F12,"Plan rollout sits below the labour-only break-even; the case at this plan is carried by the fraud and gate lines")</f>
        <v>0.69017222668053135</v>
      </c>
      <c r="G143" s="62" t="s">
        <v>403</v>
      </c>
      <c r="H143" s="62" t="s">
        <v>1295</v>
      </c>
    </row>
    <row r="144" spans="2:8" ht="16.05" customHeight="1" x14ac:dyDescent="0.25"/>
    <row r="145" spans="2:8" ht="16.05" customHeight="1" x14ac:dyDescent="0.25">
      <c r="C145" s="58" t="s">
        <v>1296</v>
      </c>
    </row>
    <row r="146" spans="2:8" ht="16.05" customHeight="1" x14ac:dyDescent="0.25"/>
    <row r="147" spans="2:8" ht="16.05" customHeight="1" x14ac:dyDescent="0.25">
      <c r="B147" s="80" t="s">
        <v>1297</v>
      </c>
    </row>
    <row r="148" spans="2:8" ht="16.05" customHeight="1" x14ac:dyDescent="0.25">
      <c r="B148" s="60" t="s">
        <v>4</v>
      </c>
      <c r="C148" s="60" t="s">
        <v>155</v>
      </c>
      <c r="D148" s="60" t="s">
        <v>6</v>
      </c>
      <c r="E148" s="60" t="s">
        <v>393</v>
      </c>
      <c r="F148" s="60"/>
      <c r="G148" s="60" t="s">
        <v>1035</v>
      </c>
      <c r="H148" s="60"/>
    </row>
    <row r="149" spans="2:8" ht="16.05" customHeight="1" x14ac:dyDescent="0.25">
      <c r="B149" s="62" t="s">
        <v>1298</v>
      </c>
      <c r="C149" s="62" t="s">
        <v>1299</v>
      </c>
      <c r="D149" s="88">
        <f>'1. Assumptions and Sources'!$D$7</f>
        <v>3317.3</v>
      </c>
      <c r="E149" s="83"/>
      <c r="F149" s="83"/>
      <c r="G149" s="62" t="s">
        <v>398</v>
      </c>
      <c r="H149" s="62" t="s">
        <v>1300</v>
      </c>
    </row>
    <row r="150" spans="2:8" ht="16.05" customHeight="1" x14ac:dyDescent="0.25">
      <c r="B150" s="62" t="s">
        <v>1301</v>
      </c>
      <c r="C150" s="62" t="s">
        <v>513</v>
      </c>
      <c r="D150" s="67">
        <f>'1. Assumptions and Sources'!$D$43</f>
        <v>7000</v>
      </c>
      <c r="E150" s="83"/>
      <c r="F150" s="83"/>
      <c r="G150" s="62" t="s">
        <v>437</v>
      </c>
      <c r="H150" s="62" t="s">
        <v>1302</v>
      </c>
    </row>
    <row r="151" spans="2:8" ht="16.05" customHeight="1" x14ac:dyDescent="0.25">
      <c r="B151" s="62" t="s">
        <v>1303</v>
      </c>
      <c r="C151" s="62" t="s">
        <v>1304</v>
      </c>
      <c r="D151" s="67">
        <f>D149*10000000/D150</f>
        <v>4739000</v>
      </c>
      <c r="E151" s="83"/>
      <c r="F151" s="83"/>
      <c r="G151" s="62" t="s">
        <v>1305</v>
      </c>
      <c r="H151" s="62" t="s">
        <v>1306</v>
      </c>
    </row>
    <row r="152" spans="2:8" ht="16.05" customHeight="1" x14ac:dyDescent="0.25">
      <c r="B152" s="62" t="s">
        <v>1307</v>
      </c>
      <c r="C152" s="62" t="s">
        <v>1308</v>
      </c>
      <c r="D152" s="67">
        <f>$E$11</f>
        <v>274307.38956444449</v>
      </c>
      <c r="E152" s="83"/>
      <c r="F152" s="83"/>
      <c r="G152" s="62" t="s">
        <v>931</v>
      </c>
      <c r="H152" s="62" t="s">
        <v>1309</v>
      </c>
    </row>
    <row r="153" spans="2:8" ht="16.05" customHeight="1" x14ac:dyDescent="0.25">
      <c r="B153" s="62" t="s">
        <v>1310</v>
      </c>
      <c r="C153" s="62" t="s">
        <v>1311</v>
      </c>
      <c r="D153" s="65">
        <f>D152/D151</f>
        <v>5.78829688888889E-2</v>
      </c>
      <c r="E153" s="83"/>
      <c r="F153" s="83"/>
      <c r="G153" s="62" t="s">
        <v>403</v>
      </c>
      <c r="H153" s="62" t="s">
        <v>1312</v>
      </c>
    </row>
    <row r="154" spans="2:8" ht="16.05" customHeight="1" x14ac:dyDescent="0.25">
      <c r="B154" s="62" t="s">
        <v>1313</v>
      </c>
      <c r="C154" s="62" t="s">
        <v>1314</v>
      </c>
      <c r="D154" s="84" t="s">
        <v>1315</v>
      </c>
      <c r="E154" s="83"/>
      <c r="F154" s="83"/>
      <c r="G154" s="62" t="s">
        <v>403</v>
      </c>
      <c r="H154" s="62" t="s">
        <v>1316</v>
      </c>
    </row>
    <row r="155" spans="2:8" ht="16.05" customHeight="1" x14ac:dyDescent="0.25">
      <c r="B155" s="62" t="s">
        <v>1317</v>
      </c>
      <c r="C155" s="62" t="s">
        <v>1318</v>
      </c>
      <c r="D155" s="83" t="str">
        <f>IF(AND(D153&gt;=0.05,D153&lt;=0.15),"PASS  -  inside the 5 to 15 per cent band","REVIEW")</f>
        <v>PASS  -  inside the 5 to 15 per cent band</v>
      </c>
      <c r="E155" s="83"/>
      <c r="F155" s="83"/>
      <c r="G155" s="62" t="s">
        <v>1319</v>
      </c>
      <c r="H155" s="62" t="s">
        <v>1320</v>
      </c>
    </row>
    <row r="156" spans="2:8" ht="16.05" customHeight="1" x14ac:dyDescent="0.25"/>
    <row r="157" spans="2:8" ht="16.05" customHeight="1" x14ac:dyDescent="0.25">
      <c r="C157" s="58" t="s">
        <v>1321</v>
      </c>
    </row>
    <row r="158" spans="2:8" ht="16.05" customHeight="1" x14ac:dyDescent="0.25"/>
    <row r="159" spans="2:8" ht="16.05" customHeight="1" x14ac:dyDescent="0.25"/>
    <row r="160" spans="2:8" ht="16.05" customHeight="1" x14ac:dyDescent="0.25">
      <c r="B160" s="80" t="s">
        <v>1322</v>
      </c>
    </row>
    <row r="161" spans="2:9" ht="16.05" customHeight="1" x14ac:dyDescent="0.25">
      <c r="B161" s="60" t="s">
        <v>4</v>
      </c>
      <c r="C161" s="60" t="s">
        <v>1323</v>
      </c>
      <c r="D161" s="60" t="s">
        <v>24</v>
      </c>
      <c r="E161" s="60" t="s">
        <v>1324</v>
      </c>
      <c r="F161" s="60" t="s">
        <v>1325</v>
      </c>
      <c r="G161" s="60" t="s">
        <v>1326</v>
      </c>
      <c r="H161" s="60" t="s">
        <v>1327</v>
      </c>
      <c r="I161" s="1" t="s">
        <v>393</v>
      </c>
    </row>
    <row r="162" spans="2:9" ht="16.05" customHeight="1" x14ac:dyDescent="0.25">
      <c r="B162" s="62" t="s">
        <v>784</v>
      </c>
      <c r="C162" s="62" t="s">
        <v>1328</v>
      </c>
      <c r="D162" s="67">
        <v>250</v>
      </c>
      <c r="E162" s="67">
        <v>83</v>
      </c>
      <c r="F162" s="67">
        <v>250</v>
      </c>
      <c r="G162" s="101">
        <v>250</v>
      </c>
      <c r="H162" s="101">
        <v>83</v>
      </c>
      <c r="I162" s="1" t="s">
        <v>437</v>
      </c>
    </row>
    <row r="163" spans="2:9" ht="16.05" customHeight="1" x14ac:dyDescent="0.25">
      <c r="B163" s="62" t="s">
        <v>786</v>
      </c>
      <c r="C163" s="62" t="s">
        <v>1329</v>
      </c>
      <c r="D163" s="67">
        <v>250</v>
      </c>
      <c r="E163" s="67">
        <v>83</v>
      </c>
      <c r="F163" s="67">
        <v>250</v>
      </c>
      <c r="G163" s="101">
        <v>250</v>
      </c>
      <c r="H163" s="101">
        <v>83</v>
      </c>
      <c r="I163" s="1" t="s">
        <v>437</v>
      </c>
    </row>
    <row r="164" spans="2:9" ht="16.05" customHeight="1" x14ac:dyDescent="0.25">
      <c r="B164" s="62" t="s">
        <v>790</v>
      </c>
      <c r="C164" s="62" t="s">
        <v>1330</v>
      </c>
      <c r="D164" s="83">
        <v>7</v>
      </c>
      <c r="E164" s="83">
        <v>5</v>
      </c>
      <c r="F164" s="83">
        <v>7</v>
      </c>
      <c r="G164" s="102">
        <v>7</v>
      </c>
      <c r="H164" s="102">
        <v>5</v>
      </c>
      <c r="I164" s="1" t="s">
        <v>452</v>
      </c>
    </row>
    <row r="165" spans="2:9" ht="16.05" customHeight="1" x14ac:dyDescent="0.25">
      <c r="B165" s="62" t="s">
        <v>793</v>
      </c>
      <c r="C165" s="62" t="s">
        <v>1331</v>
      </c>
      <c r="D165" s="84">
        <v>0.9</v>
      </c>
      <c r="E165" s="84">
        <v>0.9</v>
      </c>
      <c r="F165" s="84">
        <v>0.82</v>
      </c>
      <c r="G165" s="103">
        <v>0.9</v>
      </c>
      <c r="H165" s="103">
        <v>0.82</v>
      </c>
      <c r="I165" s="1" t="s">
        <v>403</v>
      </c>
    </row>
    <row r="166" spans="2:9" ht="16.05" customHeight="1" x14ac:dyDescent="0.25">
      <c r="B166" s="62" t="s">
        <v>1332</v>
      </c>
      <c r="C166" s="62" t="s">
        <v>1333</v>
      </c>
      <c r="D166" s="65">
        <v>3.15E-2</v>
      </c>
      <c r="E166" s="65">
        <v>3.15E-2</v>
      </c>
      <c r="F166" s="65">
        <v>1.4999999999999999E-2</v>
      </c>
      <c r="G166" s="104">
        <v>3.15E-2</v>
      </c>
      <c r="H166" s="104">
        <v>1.4999999999999999E-2</v>
      </c>
      <c r="I166" s="1" t="s">
        <v>403</v>
      </c>
    </row>
    <row r="167" spans="2:9" ht="16.05" customHeight="1" x14ac:dyDescent="0.25">
      <c r="B167" s="62" t="s">
        <v>1334</v>
      </c>
      <c r="C167" s="62" t="s">
        <v>1335</v>
      </c>
      <c r="D167" s="65">
        <v>0.01</v>
      </c>
      <c r="E167" s="65">
        <v>0.01</v>
      </c>
      <c r="F167" s="65">
        <v>2.5000000000000001E-3</v>
      </c>
      <c r="G167" s="104">
        <v>0.01</v>
      </c>
      <c r="H167" s="104">
        <v>2.5000000000000001E-3</v>
      </c>
      <c r="I167" s="1" t="s">
        <v>403</v>
      </c>
    </row>
    <row r="168" spans="2:9" ht="16.05" customHeight="1" x14ac:dyDescent="0.25">
      <c r="B168" s="62" t="s">
        <v>1336</v>
      </c>
      <c r="C168" s="62" t="s">
        <v>28</v>
      </c>
      <c r="D168" s="84">
        <v>0.6</v>
      </c>
      <c r="E168" s="84">
        <v>0.6</v>
      </c>
      <c r="F168" s="84">
        <v>0.6</v>
      </c>
      <c r="G168" s="103">
        <v>0.35</v>
      </c>
      <c r="H168" s="103">
        <v>0.35</v>
      </c>
      <c r="I168" s="1" t="s">
        <v>403</v>
      </c>
    </row>
    <row r="169" spans="2:9" ht="16.05" customHeight="1" x14ac:dyDescent="0.25">
      <c r="B169" s="62" t="s">
        <v>1337</v>
      </c>
      <c r="C169" s="62" t="s">
        <v>455</v>
      </c>
      <c r="D169" s="84">
        <v>0.65</v>
      </c>
      <c r="E169" s="84">
        <v>0.65</v>
      </c>
      <c r="F169" s="84">
        <v>0.65</v>
      </c>
      <c r="G169" s="103">
        <v>0.5</v>
      </c>
      <c r="H169" s="103">
        <v>0.5</v>
      </c>
      <c r="I169" s="1" t="s">
        <v>403</v>
      </c>
    </row>
    <row r="170" spans="2:9" ht="16.05" customHeight="1" x14ac:dyDescent="0.25">
      <c r="B170" s="62" t="s">
        <v>1338</v>
      </c>
      <c r="C170" s="62" t="s">
        <v>458</v>
      </c>
      <c r="D170" s="84">
        <v>0.25</v>
      </c>
      <c r="E170" s="84">
        <v>0.25</v>
      </c>
      <c r="F170" s="84">
        <v>0.25</v>
      </c>
      <c r="G170" s="103">
        <v>0.4</v>
      </c>
      <c r="H170" s="103">
        <v>0.4</v>
      </c>
      <c r="I170" s="1" t="s">
        <v>403</v>
      </c>
    </row>
    <row r="171" spans="2:9" ht="16.05" customHeight="1" x14ac:dyDescent="0.25">
      <c r="B171" s="62" t="s">
        <v>1339</v>
      </c>
      <c r="C171" s="62" t="s">
        <v>1340</v>
      </c>
      <c r="D171" s="84">
        <v>0.08</v>
      </c>
      <c r="E171" s="84">
        <v>0.08</v>
      </c>
      <c r="F171" s="84">
        <v>0.08</v>
      </c>
      <c r="G171" s="103">
        <v>0.15</v>
      </c>
      <c r="H171" s="103">
        <v>0.15</v>
      </c>
      <c r="I171" s="1" t="s">
        <v>403</v>
      </c>
    </row>
    <row r="172" spans="2:9" ht="16.05" customHeight="1" x14ac:dyDescent="0.25">
      <c r="B172" s="61"/>
      <c r="C172" s="61"/>
      <c r="D172" s="83"/>
      <c r="E172" s="83"/>
      <c r="F172" s="83"/>
      <c r="G172" s="61"/>
      <c r="H172" s="61"/>
    </row>
    <row r="173" spans="2:9" ht="16.05" customHeight="1" x14ac:dyDescent="0.25">
      <c r="B173" s="62" t="s">
        <v>1341</v>
      </c>
      <c r="C173" s="62" t="s">
        <v>1052</v>
      </c>
      <c r="D173" s="83">
        <f>D169*'1. Assumptions and Sources'!$D$28+D170*'1. Assumptions and Sources'!$D$29+(1-D169-D170)*'1. Assumptions and Sources'!$D$30</f>
        <v>1.23</v>
      </c>
      <c r="E173" s="83">
        <f>E169*'1. Assumptions and Sources'!$D$28+E170*'1. Assumptions and Sources'!$D$29+(1-E169-E170)*'1. Assumptions and Sources'!$D$30</f>
        <v>1.23</v>
      </c>
      <c r="F173" s="83">
        <f>F169*'1. Assumptions and Sources'!$D$28+F170*'1. Assumptions and Sources'!$D$29+(1-F169-F170)*'1. Assumptions and Sources'!$D$30</f>
        <v>1.23</v>
      </c>
      <c r="G173" s="102">
        <f>G169*'1. Assumptions and Sources'!$D$28+G170*'1. Assumptions and Sources'!$D$29+(1-G169-G170)*'1. Assumptions and Sources'!$D$30</f>
        <v>1.5</v>
      </c>
      <c r="H173" s="102">
        <f>H169*'1. Assumptions and Sources'!$D$28+H170*'1. Assumptions and Sources'!$D$29+(1-H169-H170)*'1. Assumptions and Sources'!$D$30</f>
        <v>1.5</v>
      </c>
      <c r="I173" s="1" t="s">
        <v>452</v>
      </c>
    </row>
    <row r="174" spans="2:9" ht="16.05" customHeight="1" x14ac:dyDescent="0.25">
      <c r="B174" s="62" t="s">
        <v>1342</v>
      </c>
      <c r="C174" s="62" t="s">
        <v>1045</v>
      </c>
      <c r="D174" s="67">
        <f>$E$11*D168</f>
        <v>164584.43373866667</v>
      </c>
      <c r="E174" s="67">
        <f>$E$11*E168</f>
        <v>164584.43373866667</v>
      </c>
      <c r="F174" s="67">
        <f>$E$11*F168</f>
        <v>164584.43373866667</v>
      </c>
      <c r="G174" s="101">
        <f>$E$11*G168</f>
        <v>96007.586347555567</v>
      </c>
      <c r="H174" s="101">
        <f>$E$11*H168</f>
        <v>96007.586347555567</v>
      </c>
      <c r="I174" s="1" t="s">
        <v>931</v>
      </c>
    </row>
    <row r="175" spans="2:9" ht="16.05" customHeight="1" x14ac:dyDescent="0.25">
      <c r="B175" s="62" t="s">
        <v>1343</v>
      </c>
      <c r="C175" s="62" t="s">
        <v>1344</v>
      </c>
      <c r="D175" s="88">
        <f>$E$9*D168</f>
        <v>740.62995182400016</v>
      </c>
      <c r="E175" s="88">
        <f>$E$9*E168</f>
        <v>740.62995182400016</v>
      </c>
      <c r="F175" s="88">
        <f>$E$9*F168</f>
        <v>740.62995182400016</v>
      </c>
      <c r="G175" s="105">
        <f>$E$9*G168</f>
        <v>432.03413856400005</v>
      </c>
      <c r="H175" s="105">
        <f>$E$9*H168</f>
        <v>432.03413856400005</v>
      </c>
      <c r="I175" s="1" t="s">
        <v>398</v>
      </c>
    </row>
    <row r="176" spans="2:9" ht="16.05" customHeight="1" x14ac:dyDescent="0.25">
      <c r="B176" s="62" t="s">
        <v>1345</v>
      </c>
      <c r="C176" s="62" t="s">
        <v>971</v>
      </c>
      <c r="D176" s="88">
        <f>D174*(D164*D162-D173*D163)/10000000</f>
        <v>23.741304566802668</v>
      </c>
      <c r="E176" s="88">
        <f>E174*(E164*E162-E173*E163)/10000000</f>
        <v>5.150011516116618</v>
      </c>
      <c r="F176" s="88">
        <f>F174*(F164*F162-F173*F163)/10000000</f>
        <v>23.741304566802668</v>
      </c>
      <c r="G176" s="105">
        <f>G174*(G164*G162-G173*G163)/10000000</f>
        <v>13.20104312278889</v>
      </c>
      <c r="H176" s="105">
        <f>H174*(H164*H162-H173*H163)/10000000</f>
        <v>2.7890203833964891</v>
      </c>
      <c r="I176" s="1" t="s">
        <v>398</v>
      </c>
    </row>
    <row r="177" spans="2:9" ht="16.05" customHeight="1" x14ac:dyDescent="0.25">
      <c r="B177" s="62" t="s">
        <v>1346</v>
      </c>
      <c r="C177" s="62" t="s">
        <v>1347</v>
      </c>
      <c r="D177" s="88">
        <f>D175*D166*(1-(1-D165)/(1-'1. Assumptions and Sources'!$D$35))</f>
        <v>17.190410987072848</v>
      </c>
      <c r="E177" s="88">
        <f>E175*E166*(1-(1-E165)/(1-'1. Assumptions and Sources'!$D$35))</f>
        <v>17.190410987072848</v>
      </c>
      <c r="F177" s="88">
        <f>F175*F166*(1-(1-F165)/(1-'1. Assumptions and Sources'!$D$35))</f>
        <v>5.8470785670315779</v>
      </c>
      <c r="G177" s="105">
        <f>G175*G166*(1-(1-G165)/(1-'1. Assumptions and Sources'!$D$35))</f>
        <v>10.027739742459159</v>
      </c>
      <c r="H177" s="105">
        <f>H175*H166*(1-(1-H165)/(1-'1. Assumptions and Sources'!$D$35))</f>
        <v>3.4107958307684205</v>
      </c>
      <c r="I177" s="1" t="s">
        <v>398</v>
      </c>
    </row>
    <row r="178" spans="2:9" ht="16.05" customHeight="1" x14ac:dyDescent="0.25">
      <c r="B178" s="62" t="s">
        <v>1348</v>
      </c>
      <c r="C178" s="62" t="s">
        <v>1349</v>
      </c>
      <c r="D178" s="88">
        <f>D175*D167*'1. Assumptions and Sources'!$D$41</f>
        <v>6.2953545905040009</v>
      </c>
      <c r="E178" s="88">
        <f>E175*E167*'1. Assumptions and Sources'!$D$41</f>
        <v>6.2953545905040009</v>
      </c>
      <c r="F178" s="88">
        <f>F175*F167*'1. Assumptions and Sources'!$D$41</f>
        <v>1.5738386476260002</v>
      </c>
      <c r="G178" s="105">
        <f>G175*G167*'1. Assumptions and Sources'!$D$41</f>
        <v>3.6722901777940007</v>
      </c>
      <c r="H178" s="105">
        <f>H175*H167*'1. Assumptions and Sources'!$D$41</f>
        <v>0.91807254444850017</v>
      </c>
      <c r="I178" s="1" t="s">
        <v>398</v>
      </c>
    </row>
    <row r="179" spans="2:9" ht="16.05" customHeight="1" x14ac:dyDescent="0.25">
      <c r="B179" s="62" t="s">
        <v>1350</v>
      </c>
      <c r="C179" s="62" t="s">
        <v>1081</v>
      </c>
      <c r="D179" s="88">
        <f>D174*'1. Assumptions and Sources'!$D$43*'1. Assumptions and Sources'!$D$44*'1. Assumptions and Sources'!$D$45/10000000</f>
        <v>0.57604551808533344</v>
      </c>
      <c r="E179" s="88">
        <f>E174*'1. Assumptions and Sources'!$D$43*'1. Assumptions and Sources'!$D$44*'1. Assumptions and Sources'!$D$45/10000000</f>
        <v>0.57604551808533344</v>
      </c>
      <c r="F179" s="88">
        <f>F174*'1. Assumptions and Sources'!$D$43*'1. Assumptions and Sources'!$D$44*'1. Assumptions and Sources'!$D$45/10000000</f>
        <v>0.57604551808533344</v>
      </c>
      <c r="G179" s="105">
        <f>G174*'1. Assumptions and Sources'!$D$43*'1. Assumptions and Sources'!$D$44*'1. Assumptions and Sources'!$D$45/10000000</f>
        <v>0.33602655221644456</v>
      </c>
      <c r="H179" s="105">
        <f>H174*'1. Assumptions and Sources'!$D$43*'1. Assumptions and Sources'!$D$44*'1. Assumptions and Sources'!$D$45/10000000</f>
        <v>0.33602655221644456</v>
      </c>
      <c r="I179" s="1" t="s">
        <v>398</v>
      </c>
    </row>
    <row r="180" spans="2:9" ht="16.05" customHeight="1" x14ac:dyDescent="0.25">
      <c r="B180" s="62" t="s">
        <v>1351</v>
      </c>
      <c r="C180" s="62" t="s">
        <v>984</v>
      </c>
      <c r="D180" s="88">
        <f>-D174*D171*('1. Assumptions and Sources'!$D$29-'1. Assumptions and Sources'!$D$28)*D163/10000000</f>
        <v>-0.59250396145920003</v>
      </c>
      <c r="E180" s="88">
        <f>-E174*E171*('1. Assumptions and Sources'!$D$29-'1. Assumptions and Sources'!$D$28)*E163/10000000</f>
        <v>-0.19671131520445442</v>
      </c>
      <c r="F180" s="88">
        <f>-F174*F171*('1. Assumptions and Sources'!$D$29-'1. Assumptions and Sources'!$D$28)*F163/10000000</f>
        <v>-0.59250396145920003</v>
      </c>
      <c r="G180" s="105">
        <f>-G174*G171*('1. Assumptions and Sources'!$D$29-'1. Assumptions and Sources'!$D$28)*G163/10000000</f>
        <v>-0.64805120784600001</v>
      </c>
      <c r="H180" s="105">
        <f>-H174*H171*('1. Assumptions and Sources'!$D$29-'1. Assumptions and Sources'!$D$28)*H163/10000000</f>
        <v>-0.215153001004872</v>
      </c>
      <c r="I180" s="1" t="s">
        <v>398</v>
      </c>
    </row>
    <row r="181" spans="2:9" ht="16.05" customHeight="1" x14ac:dyDescent="0.25">
      <c r="B181" s="106" t="s">
        <v>1352</v>
      </c>
      <c r="C181" s="106" t="s">
        <v>986</v>
      </c>
      <c r="D181" s="107">
        <f>SUM(D176:D180)</f>
        <v>47.210611701005661</v>
      </c>
      <c r="E181" s="107">
        <f>SUM(E176:E180)</f>
        <v>29.015111296574347</v>
      </c>
      <c r="F181" s="107">
        <f>SUM(F176:F180)</f>
        <v>31.145763338086379</v>
      </c>
      <c r="G181" s="108">
        <f>SUM(G176:G180)</f>
        <v>26.589048387412497</v>
      </c>
      <c r="H181" s="108">
        <f>SUM(H176:H180)</f>
        <v>7.2387623098249829</v>
      </c>
      <c r="I181" s="109" t="s">
        <v>398</v>
      </c>
    </row>
    <row r="182" spans="2:9" ht="16.05" customHeight="1" x14ac:dyDescent="0.25">
      <c r="B182" s="62" t="s">
        <v>1353</v>
      </c>
      <c r="C182" s="62" t="s">
        <v>944</v>
      </c>
      <c r="D182" s="88">
        <f>D174*'1. Assumptions and Sources'!$D$78*'1. Assumptions and Sources'!$D$79*'1. Assumptions and Sources'!$D$80*'1. Assumptions and Sources'!$D$81*'1. Assumptions and Sources'!$D$14/10000000+D174*'1. Assumptions and Sources'!$D$82*'1. Assumptions and Sources'!$D$14*'1. Assumptions and Sources'!$D$83/10000000+$E$61+$E$62+$E$63+$E$64</f>
        <v>3.9006065337252656</v>
      </c>
      <c r="E182" s="88">
        <f>E174*'1. Assumptions and Sources'!$D$78*'1. Assumptions and Sources'!$D$79*'1. Assumptions and Sources'!$D$80*'1. Assumptions and Sources'!$D$81*'1. Assumptions and Sources'!$D$14/10000000+E174*'1. Assumptions and Sources'!$D$82*'1. Assumptions and Sources'!$D$14*'1. Assumptions and Sources'!$D$83/10000000+$E$61+$E$62+$E$63+$E$64</f>
        <v>3.9006065337252656</v>
      </c>
      <c r="F182" s="88">
        <f>F174*'1. Assumptions and Sources'!$D$78*'1. Assumptions and Sources'!$D$79*'1. Assumptions and Sources'!$D$80*'1. Assumptions and Sources'!$D$81*'1. Assumptions and Sources'!$D$14/10000000+F174*'1. Assumptions and Sources'!$D$82*'1. Assumptions and Sources'!$D$14*'1. Assumptions and Sources'!$D$83/10000000+$E$61+$E$62+$E$63+$E$64</f>
        <v>3.9006065337252656</v>
      </c>
      <c r="G182" s="105">
        <f>G174*'1. Assumptions and Sources'!$D$78*'1. Assumptions and Sources'!$D$79*'1. Assumptions and Sources'!$D$80*'1. Assumptions and Sources'!$D$81*'1. Assumptions and Sources'!$D$14/10000000+G174*'1. Assumptions and Sources'!$D$82*'1. Assumptions and Sources'!$D$14*'1. Assumptions and Sources'!$D$83/10000000+$E$61+$E$62+$E$63+$E$64</f>
        <v>3.0314038113397386</v>
      </c>
      <c r="H182" s="105">
        <f>H174*'1. Assumptions and Sources'!$D$78*'1. Assumptions and Sources'!$D$79*'1. Assumptions and Sources'!$D$80*'1. Assumptions and Sources'!$D$81*'1. Assumptions and Sources'!$D$14/10000000+H174*'1. Assumptions and Sources'!$D$82*'1. Assumptions and Sources'!$D$14*'1. Assumptions and Sources'!$D$83/10000000+$E$61+$E$62+$E$63+$E$64</f>
        <v>3.0314038113397386</v>
      </c>
      <c r="I182" s="1" t="s">
        <v>398</v>
      </c>
    </row>
    <row r="183" spans="2:9" ht="16.05" customHeight="1" x14ac:dyDescent="0.25">
      <c r="B183" s="106" t="s">
        <v>1354</v>
      </c>
      <c r="C183" s="106" t="s">
        <v>946</v>
      </c>
      <c r="D183" s="107">
        <f>D181-D182</f>
        <v>43.310005167280394</v>
      </c>
      <c r="E183" s="107">
        <f>E181-E182</f>
        <v>25.11450476284908</v>
      </c>
      <c r="F183" s="107">
        <f>F181-F182</f>
        <v>27.245156804361113</v>
      </c>
      <c r="G183" s="108">
        <f>G181-G182</f>
        <v>23.557644576072757</v>
      </c>
      <c r="H183" s="108">
        <f>H181-H182</f>
        <v>4.2073584984852443</v>
      </c>
      <c r="I183" s="109" t="s">
        <v>398</v>
      </c>
    </row>
    <row r="184" spans="2:9" ht="16.05" customHeight="1" x14ac:dyDescent="0.25">
      <c r="B184" s="62" t="s">
        <v>1355</v>
      </c>
      <c r="C184" s="62" t="s">
        <v>1356</v>
      </c>
      <c r="D184" s="84">
        <f>D183/$D$183</f>
        <v>1</v>
      </c>
      <c r="E184" s="84">
        <f>E183/$D$183</f>
        <v>0.57987766720061373</v>
      </c>
      <c r="F184" s="84">
        <f>F183/$D$183</f>
        <v>0.62907304441847844</v>
      </c>
      <c r="G184" s="103">
        <f>G183/$D$183</f>
        <v>0.54393077269521906</v>
      </c>
      <c r="H184" s="103">
        <f>H183/$D$183</f>
        <v>9.7145185788705388E-2</v>
      </c>
      <c r="I184" s="1" t="s">
        <v>403</v>
      </c>
    </row>
    <row r="185" spans="2:9" ht="16.05" customHeight="1" x14ac:dyDescent="0.25">
      <c r="B185" s="62" t="s">
        <v>1357</v>
      </c>
      <c r="C185" s="62" t="s">
        <v>1358</v>
      </c>
      <c r="D185" s="88">
        <f>D181*'1. Assumptions and Sources'!$D$46-D182</f>
        <v>17.344168731727283</v>
      </c>
      <c r="E185" s="88">
        <f>E181*'1. Assumptions and Sources'!$D$46-E182</f>
        <v>9.1561935497331923</v>
      </c>
      <c r="F185" s="88">
        <f>F181*'1. Assumptions and Sources'!$D$46-F182</f>
        <v>10.114986968413604</v>
      </c>
      <c r="G185" s="105">
        <f>G181*'1. Assumptions and Sources'!$D$46-G182</f>
        <v>8.9336679629958837</v>
      </c>
      <c r="H185" s="105">
        <f>H181*'1. Assumptions and Sources'!$D$46-H182</f>
        <v>0.22603922808150401</v>
      </c>
      <c r="I185" s="1" t="s">
        <v>398</v>
      </c>
    </row>
    <row r="186" spans="2:9" ht="16.05" customHeight="1" x14ac:dyDescent="0.25">
      <c r="B186" s="62" t="s">
        <v>1359</v>
      </c>
      <c r="C186" s="62" t="s">
        <v>1360</v>
      </c>
      <c r="D186" s="88">
        <f>(D181*'1. Assumptions and Sources'!$D$47-D182)*(1+'1. Assumptions and Sources'!$D$12)</f>
        <v>42.97254082331434</v>
      </c>
      <c r="E186" s="88">
        <f>(E181*'1. Assumptions and Sources'!$D$47-E182)*(1+'1. Assumptions and Sources'!$D$12)</f>
        <v>24.776312598866845</v>
      </c>
      <c r="F186" s="88">
        <f>(F181*'1. Assumptions and Sources'!$D$47-F182)*(1+'1. Assumptions and Sources'!$D$12)</f>
        <v>26.90704986646054</v>
      </c>
      <c r="G186" s="105">
        <f>(G181*'1. Assumptions and Sources'!$D$47-G182)*(1+'1. Assumptions and Sources'!$D$12)</f>
        <v>23.294976006421695</v>
      </c>
      <c r="H186" s="105">
        <f>(H181*'1. Assumptions and Sources'!$D$47-H182)*(1+'1. Assumptions and Sources'!$D$12)</f>
        <v>3.9439159173910805</v>
      </c>
      <c r="I186" s="1" t="s">
        <v>398</v>
      </c>
    </row>
    <row r="187" spans="2:9" ht="16.05" customHeight="1" x14ac:dyDescent="0.25">
      <c r="B187" s="62" t="s">
        <v>1361</v>
      </c>
      <c r="C187" s="62" t="s">
        <v>1362</v>
      </c>
      <c r="D187" s="88">
        <f>(D181*'1. Assumptions and Sources'!$D$48-D182)*(1+'1. Assumptions and Sources'!$D$12)^2</f>
        <v>51.173759495498324</v>
      </c>
      <c r="E187" s="88">
        <f>(E181*'1. Assumptions and Sources'!$D$48-E182)*(1+'1. Assumptions and Sources'!$D$12)^2</f>
        <v>29.674520278134821</v>
      </c>
      <c r="F187" s="88">
        <f>(F181*'1. Assumptions and Sources'!$D$48-F182)*(1+'1. Assumptions and Sources'!$D$12)^2</f>
        <v>32.192032680172154</v>
      </c>
      <c r="G187" s="105">
        <f>(G181*'1. Assumptions and Sources'!$D$48-G182)*(1+'1. Assumptions and Sources'!$D$12)^2</f>
        <v>27.83498254410571</v>
      </c>
      <c r="H187" s="105">
        <f>(H181*'1. Assumptions and Sources'!$D$48-H182)*(1+'1. Assumptions and Sources'!$D$12)^2</f>
        <v>4.9712843736967107</v>
      </c>
      <c r="I187" s="1" t="s">
        <v>398</v>
      </c>
    </row>
    <row r="188" spans="2:9" ht="16.05" customHeight="1" x14ac:dyDescent="0.25">
      <c r="B188" s="62" t="s">
        <v>1363</v>
      </c>
      <c r="C188" s="62" t="s">
        <v>1364</v>
      </c>
      <c r="D188" s="88">
        <f>(D181*'1. Assumptions and Sources'!$D$48-D182)*(1+'1. Assumptions and Sources'!$D$12)^3</f>
        <v>55.625876571606675</v>
      </c>
      <c r="E188" s="88">
        <f>(E181*'1. Assumptions and Sources'!$D$48-E182)*(1+'1. Assumptions and Sources'!$D$12)^3</f>
        <v>32.25620354233255</v>
      </c>
      <c r="F188" s="88">
        <f>(F181*'1. Assumptions and Sources'!$D$48-F182)*(1+'1. Assumptions and Sources'!$D$12)^3</f>
        <v>34.992739523347126</v>
      </c>
      <c r="G188" s="105">
        <f>(G181*'1. Assumptions and Sources'!$D$48-G182)*(1+'1. Assumptions and Sources'!$D$12)^3</f>
        <v>30.256626025442905</v>
      </c>
      <c r="H188" s="105">
        <f>(H181*'1. Assumptions and Sources'!$D$48-H182)*(1+'1. Assumptions and Sources'!$D$12)^3</f>
        <v>5.4037861142083248</v>
      </c>
      <c r="I188" s="1" t="s">
        <v>398</v>
      </c>
    </row>
    <row r="189" spans="2:9" ht="16.05" customHeight="1" x14ac:dyDescent="0.25">
      <c r="B189" s="62" t="s">
        <v>1365</v>
      </c>
      <c r="C189" s="62" t="s">
        <v>1366</v>
      </c>
      <c r="D189" s="88">
        <f>(D181*'1. Assumptions and Sources'!$D$48-D182)*(1+'1. Assumptions and Sources'!$D$12)^4</f>
        <v>60.465327833336453</v>
      </c>
      <c r="E189" s="88">
        <f>(E181*'1. Assumptions and Sources'!$D$48-E182)*(1+'1. Assumptions and Sources'!$D$12)^4</f>
        <v>35.06249325051548</v>
      </c>
      <c r="F189" s="88">
        <f>(F181*'1. Assumptions and Sources'!$D$48-F182)*(1+'1. Assumptions and Sources'!$D$12)^4</f>
        <v>38.037107861878326</v>
      </c>
      <c r="G189" s="105">
        <f>(G181*'1. Assumptions and Sources'!$D$48-G182)*(1+'1. Assumptions and Sources'!$D$12)^4</f>
        <v>32.888952489656432</v>
      </c>
      <c r="H189" s="105">
        <f>(H181*'1. Assumptions and Sources'!$D$48-H182)*(1+'1. Assumptions and Sources'!$D$12)^4</f>
        <v>5.8739155061444484</v>
      </c>
      <c r="I189" s="1" t="s">
        <v>398</v>
      </c>
    </row>
    <row r="190" spans="2:9" ht="16.05" customHeight="1" x14ac:dyDescent="0.25">
      <c r="B190" s="106" t="s">
        <v>1367</v>
      </c>
      <c r="C190" s="106" t="s">
        <v>1368</v>
      </c>
      <c r="D190" s="107">
        <f>-$D$55+D185/(1+'1. Assumptions and Sources'!$D$15)+D186/(1+'1. Assumptions and Sources'!$D$15)^2+D187/(1+'1. Assumptions and Sources'!$D$15)^3+D188/(1+'1. Assumptions and Sources'!$D$15)^4+D189/(1+'1. Assumptions and Sources'!$D$15)^5</f>
        <v>145.93821384228556</v>
      </c>
      <c r="E190" s="107">
        <f>-$D$55+E185/(1+'1. Assumptions and Sources'!$D$15)+E186/(1+'1. Assumptions and Sources'!$D$15)^2+E187/(1+'1. Assumptions and Sources'!$D$15)^3+E188/(1+'1. Assumptions and Sources'!$D$15)^4+E189/(1+'1. Assumptions and Sources'!$D$15)^5</f>
        <v>79.552765912336412</v>
      </c>
      <c r="F190" s="107">
        <f>-$D$55+F185/(1+'1. Assumptions and Sources'!$D$15)+F186/(1+'1. Assumptions and Sources'!$D$15)^2+F187/(1+'1. Assumptions and Sources'!$D$15)^3+F188/(1+'1. Assumptions and Sources'!$D$15)^4+F189/(1+'1. Assumptions and Sources'!$D$15)^5</f>
        <v>87.326352074560887</v>
      </c>
      <c r="G190" s="108">
        <f>-$D$55+G185/(1+'1. Assumptions and Sources'!$D$15)+G186/(1+'1. Assumptions and Sources'!$D$15)^2+G187/(1+'1. Assumptions and Sources'!$D$15)^3+G188/(1+'1. Assumptions and Sources'!$D$15)^4+G189/(1+'1. Assumptions and Sources'!$D$15)^5</f>
        <v>74.359730205604933</v>
      </c>
      <c r="H190" s="108">
        <f>-$D$55+H185/(1+'1. Assumptions and Sources'!$D$15)+H186/(1+'1. Assumptions and Sources'!$D$15)^2+H187/(1+'1. Assumptions and Sources'!$D$15)^3+H188/(1+'1. Assumptions and Sources'!$D$15)^4+H189/(1+'1. Assumptions and Sources'!$D$15)^5</f>
        <v>3.761099759560103</v>
      </c>
      <c r="I190" s="109" t="s">
        <v>398</v>
      </c>
    </row>
    <row r="191" spans="2:9" ht="16.05" customHeight="1" x14ac:dyDescent="0.25">
      <c r="B191" s="106" t="s">
        <v>1369</v>
      </c>
      <c r="C191" s="106" t="s">
        <v>34</v>
      </c>
      <c r="D191" s="110">
        <f>'1. Assumptions and Sources'!$D$49+IF(D185&gt;=$D$55,$D$55/(D185/12),IF(D185+D186&gt;=$D$55,12+($D$55-D185)/(D186/12),IF(D185+D186+D187&gt;=$D$55,24+($D$55-D185-D186)/(D187/12),IF(D185+D186+D187+D188&gt;=$D$55,36+($D$55-D185-D186-D187)/(D188/12),IF(D185+D186+D187+D188+D189&gt;=$D$55,48+($D$55-D185-D186-D187-D188)/(D189/12),"beyond 5 years")))))</f>
        <v>16.842970651161341</v>
      </c>
      <c r="E191" s="110">
        <f>'1. Assumptions and Sources'!$D$49+IF(E185&gt;=$D$55,$D$55/(E185/12),IF(E185+E186&gt;=$D$55,12+($D$55-E185)/(E186/12),IF(E185+E186+E187&gt;=$D$55,24+($D$55-E185-E186)/(E187/12),IF(E185+E186+E187+E188&gt;=$D$55,36+($D$55-E185-E186-E187)/(E188/12),IF(E185+E186+E187+E188+E189&gt;=$D$55,48+($D$55-E185-E186-E187-E188)/(E189/12),"beyond 5 years")))))</f>
        <v>22.355634639660007</v>
      </c>
      <c r="F191" s="110">
        <f>'1. Assumptions and Sources'!$D$49+IF(F185&gt;=$D$55,$D$55/(F185/12),IF(F185+F186&gt;=$D$55,12+($D$55-F185)/(F186/12),IF(F185+F186+F187&gt;=$D$55,24+($D$55-F185-F186)/(F187/12),IF(F185+F186+F187+F188&gt;=$D$55,36+($D$55-F185-F186-F187)/(F188/12),IF(F185+F186+F187+F188+F189&gt;=$D$55,48+($D$55-F185-F186-F187-F188)/(F189/12),"beyond 5 years")))))</f>
        <v>21.733642165889435</v>
      </c>
      <c r="G191" s="111">
        <f>'1. Assumptions and Sources'!$D$49+IF(G185&gt;=$D$55,$D$55/(G185/12),IF(G185+G186&gt;=$D$55,12+($D$55-G185)/(G186/12),IF(G185+G186+G187&gt;=$D$55,24+($D$55-G185-G186)/(G187/12),IF(G185+G186+G187+G188&gt;=$D$55,36+($D$55-G185-G186-G187)/(G188/12),IF(G185+G186+G187+G188+G189&gt;=$D$55,48+($D$55-G185-G186-G187-G188)/(G189/12),"beyond 5 years")))))</f>
        <v>22.492879754024401</v>
      </c>
      <c r="H191" s="111">
        <f>'1. Assumptions and Sources'!$D$49+IF(H185&gt;=$D$55,$D$55/(H185/12),IF(H185+H186&gt;=$D$55,12+($D$55-H185)/(H186/12),IF(H185+H186+H187&gt;=$D$55,24+($D$55-H185-H186)/(H187/12),IF(H185+H186+H187+H188&gt;=$D$55,36+($D$55-H185-H186-H187)/(H188/12),IF(H185+H186+H187+H188+H189&gt;=$D$55,48+($D$55-H185-H186-H187-H188)/(H189/12),"beyond 5 years")))))</f>
        <v>47.66378964302988</v>
      </c>
      <c r="I191" s="109" t="s">
        <v>533</v>
      </c>
    </row>
    <row r="192" spans="2:9" ht="16.05" customHeight="1" x14ac:dyDescent="0.25">
      <c r="B192" s="62" t="s">
        <v>1370</v>
      </c>
      <c r="C192" s="62" t="s">
        <v>40</v>
      </c>
      <c r="D192" s="83">
        <f>(D177+D178+D176+D180-D182)/$E$79</f>
        <v>2.5826285166934659</v>
      </c>
      <c r="E192" s="83">
        <f>(E177+E178+E176+E180-E182)/$E$79</f>
        <v>1.4829827406934659</v>
      </c>
      <c r="F192" s="83">
        <f>(F177+F178+F176+F180-F182)/$E$79</f>
        <v>1.6117487798513603</v>
      </c>
      <c r="G192" s="102">
        <f>(G177+G178+G176+G180-G182)/$E$79</f>
        <v>1.4033993901921034</v>
      </c>
      <c r="H192" s="102">
        <f>(H177+H178+H176+H180-H182)/$E$79</f>
        <v>0.2339640970342084</v>
      </c>
      <c r="I192" s="1" t="s">
        <v>494</v>
      </c>
    </row>
    <row r="193" spans="2:9" ht="16.05" customHeight="1" x14ac:dyDescent="0.25">
      <c r="B193" s="106" t="s">
        <v>1371</v>
      </c>
      <c r="C193" s="106" t="s">
        <v>1372</v>
      </c>
      <c r="D193" s="112" t="str">
        <f>IF(D190&gt;0,"PASS","FAIL")</f>
        <v>PASS</v>
      </c>
      <c r="E193" s="112" t="str">
        <f>IF(E190&gt;0,"PASS","FAIL")</f>
        <v>PASS</v>
      </c>
      <c r="F193" s="112" t="str">
        <f>IF(F190&gt;0,"PASS","FAIL")</f>
        <v>PASS</v>
      </c>
      <c r="G193" s="106" t="str">
        <f>IF(G190&gt;0,"PASS","FAIL")</f>
        <v>PASS</v>
      </c>
      <c r="H193" s="106" t="str">
        <f>IF(H190&gt;0,"PASS","FAIL")</f>
        <v>PASS</v>
      </c>
      <c r="I193" s="109" t="s">
        <v>1373</v>
      </c>
    </row>
    <row r="194" spans="2:9" ht="16.05" customHeight="1" x14ac:dyDescent="0.25"/>
    <row r="195" spans="2:9" ht="16.05" customHeight="1" x14ac:dyDescent="0.25">
      <c r="C195" s="58" t="s">
        <v>1374</v>
      </c>
    </row>
    <row r="196" spans="2:9" ht="16.05" customHeight="1" x14ac:dyDescent="0.25">
      <c r="C196" s="58" t="s">
        <v>1375</v>
      </c>
    </row>
    <row r="197" spans="2:9" ht="16.05" customHeight="1" x14ac:dyDescent="0.25"/>
    <row r="198" spans="2:9" ht="16.05" customHeight="1" x14ac:dyDescent="0.25"/>
    <row r="199" spans="2:9" ht="16.05" customHeight="1" x14ac:dyDescent="0.25">
      <c r="B199" s="80" t="s">
        <v>1376</v>
      </c>
    </row>
    <row r="200" spans="2:9" ht="16.05" customHeight="1" x14ac:dyDescent="0.25">
      <c r="B200" s="60" t="s">
        <v>4</v>
      </c>
      <c r="C200" s="60" t="s">
        <v>7</v>
      </c>
      <c r="D200" s="60" t="s">
        <v>1377</v>
      </c>
      <c r="E200" s="60" t="s">
        <v>1378</v>
      </c>
      <c r="F200" s="60" t="s">
        <v>1379</v>
      </c>
      <c r="G200" s="60" t="s">
        <v>293</v>
      </c>
      <c r="H200" s="60" t="s">
        <v>1380</v>
      </c>
      <c r="I200" s="1" t="s">
        <v>1381</v>
      </c>
    </row>
    <row r="201" spans="2:9" ht="16.05" customHeight="1" x14ac:dyDescent="0.25">
      <c r="B201" s="62" t="s">
        <v>798</v>
      </c>
      <c r="C201" s="62" t="s">
        <v>1382</v>
      </c>
      <c r="D201" s="65">
        <f>'1. Assumptions and Sources'!$D$200</f>
        <v>0.49880000000000002</v>
      </c>
      <c r="E201" s="88">
        <f>'1. Assumptions and Sources'!$D$7*D201</f>
        <v>1654.6692400000002</v>
      </c>
      <c r="F201" s="88">
        <f>E201*'1. Assumptions and Sources'!$D$9</f>
        <v>1234.3832530400002</v>
      </c>
      <c r="G201" s="105">
        <f>($E$36*(D201/'1. Assumptions and Sources'!$D$8))-(($E$59+$E$60)*(D201/'1. Assumptions and Sources'!$D$8)+$E$61+$E$62+$E$63+$E$64)</f>
        <v>43.310005167280394</v>
      </c>
      <c r="H201" s="113">
        <f>'1. Assumptions and Sources'!$D$49+IF((($E$36*(D201/'1. Assumptions and Sources'!$D$8))*'1. Assumptions and Sources'!$D$46-(($E$59+$E$60)*(D201/'1. Assumptions and Sources'!$D$8)+$E$61+$E$62+$E$63+$E$64))&gt;=$D$55,$D$55/((($E$36*(D201/'1. Assumptions and Sources'!$D$8))*'1. Assumptions and Sources'!$D$46-(($E$59+$E$60)*(D201/'1. Assumptions and Sources'!$D$8)+$E$61+$E$62+$E$63+$E$64))/12),IF((($E$36*(D201/'1. Assumptions and Sources'!$D$8))*'1. Assumptions and Sources'!$D$46-(($E$59+$E$60)*(D201/'1. Assumptions and Sources'!$D$8)+$E$61+$E$62+$E$63+$E$64))+((($E$36*(D201/'1. Assumptions and Sources'!$D$8))*'1. Assumptions and Sources'!$D$47-(($E$59+$E$60)*(D201/'1. Assumptions and Sources'!$D$8)+$E$61+$E$62+$E$63+$E$64))*(1+'1. Assumptions and Sources'!$D$12))&gt;=$D$55,12+($D$55-(($E$36*(D201/'1. Assumptions and Sources'!$D$8))*'1. Assumptions and Sources'!$D$46-(($E$59+$E$60)*(D201/'1. Assumptions and Sources'!$D$8)+$E$61+$E$62+$E$63+$E$64)))/(((($E$36*(D201/'1. Assumptions and Sources'!$D$8))*'1. Assumptions and Sources'!$D$47-(($E$59+$E$60)*(D201/'1. Assumptions and Sources'!$D$8)+$E$61+$E$62+$E$63+$E$64))*(1+'1. Assumptions and Sources'!$D$12))/12),24+($D$55-(($E$36*(D201/'1. Assumptions and Sources'!$D$8))*'1. Assumptions and Sources'!$D$46-(($E$59+$E$60)*(D201/'1. Assumptions and Sources'!$D$8)+$E$61+$E$62+$E$63+$E$64))-((($E$36*(D201/'1. Assumptions and Sources'!$D$8))*'1. Assumptions and Sources'!$D$47-(($E$59+$E$60)*(D201/'1. Assumptions and Sources'!$D$8)+$E$61+$E$62+$E$63+$E$64))*(1+'1. Assumptions and Sources'!$D$12)))/(((($E$36*(D201/'1. Assumptions and Sources'!$D$8))*'1. Assumptions and Sources'!$D$48-(($E$59+$E$60)*(D201/'1. Assumptions and Sources'!$D$8)+$E$61+$E$62+$E$63+$E$64))*(1+'1. Assumptions and Sources'!$D$12)^2)/12)))</f>
        <v>16.842970651161341</v>
      </c>
      <c r="I201" s="114">
        <f>(($E$31+$E$32+$E$33+$E$30+$E$35)*(D201/'1. Assumptions and Sources'!$D$8)-(($E$59+$E$60)*(D201/'1. Assumptions and Sources'!$D$8)+$E$61+$E$62+$E$63+$E$64))/(E201*0.01)</f>
        <v>2.5826285166934659</v>
      </c>
    </row>
    <row r="202" spans="2:9" ht="16.05" customHeight="1" x14ac:dyDescent="0.25">
      <c r="B202" s="62" t="s">
        <v>803</v>
      </c>
      <c r="C202" s="62" t="s">
        <v>1383</v>
      </c>
      <c r="D202" s="65">
        <f>'1. Assumptions and Sources'!$D$201</f>
        <v>0.46100000000000002</v>
      </c>
      <c r="E202" s="88">
        <f>'1. Assumptions and Sources'!$D$7*D202</f>
        <v>1529.2753000000002</v>
      </c>
      <c r="F202" s="88">
        <f>E202*'1. Assumptions and Sources'!$D$9</f>
        <v>1140.8393738000002</v>
      </c>
      <c r="G202" s="105">
        <f>($E$36*(D202/'1. Assumptions and Sources'!$D$8))-(($E$59+$E$60)*(D202/'1. Assumptions and Sources'!$D$8)+$E$61+$E$62+$E$63+$E$64)</f>
        <v>39.890383973769573</v>
      </c>
      <c r="H202" s="113">
        <f>'1. Assumptions and Sources'!$D$49+IF((($E$36*(D202/'1. Assumptions and Sources'!$D$8))*'1. Assumptions and Sources'!$D$46-(($E$59+$E$60)*(D202/'1. Assumptions and Sources'!$D$8)+$E$61+$E$62+$E$63+$E$64))&gt;=$D$55,$D$55/((($E$36*(D202/'1. Assumptions and Sources'!$D$8))*'1. Assumptions and Sources'!$D$46-(($E$59+$E$60)*(D202/'1. Assumptions and Sources'!$D$8)+$E$61+$E$62+$E$63+$E$64))/12),IF((($E$36*(D202/'1. Assumptions and Sources'!$D$8))*'1. Assumptions and Sources'!$D$46-(($E$59+$E$60)*(D202/'1. Assumptions and Sources'!$D$8)+$E$61+$E$62+$E$63+$E$64))+((($E$36*(D202/'1. Assumptions and Sources'!$D$8))*'1. Assumptions and Sources'!$D$47-(($E$59+$E$60)*(D202/'1. Assumptions and Sources'!$D$8)+$E$61+$E$62+$E$63+$E$64))*(1+'1. Assumptions and Sources'!$D$12))&gt;=$D$55,12+($D$55-(($E$36*(D202/'1. Assumptions and Sources'!$D$8))*'1. Assumptions and Sources'!$D$46-(($E$59+$E$60)*(D202/'1. Assumptions and Sources'!$D$8)+$E$61+$E$62+$E$63+$E$64)))/(((($E$36*(D202/'1. Assumptions and Sources'!$D$8))*'1. Assumptions and Sources'!$D$47-(($E$59+$E$60)*(D202/'1. Assumptions and Sources'!$D$8)+$E$61+$E$62+$E$63+$E$64))*(1+'1. Assumptions and Sources'!$D$12))/12),24+($D$55-(($E$36*(D202/'1. Assumptions and Sources'!$D$8))*'1. Assumptions and Sources'!$D$46-(($E$59+$E$60)*(D202/'1. Assumptions and Sources'!$D$8)+$E$61+$E$62+$E$63+$E$64))-((($E$36*(D202/'1. Assumptions and Sources'!$D$8))*'1. Assumptions and Sources'!$D$47-(($E$59+$E$60)*(D202/'1. Assumptions and Sources'!$D$8)+$E$61+$E$62+$E$63+$E$64))*(1+'1. Assumptions and Sources'!$D$12)))/(((($E$36*(D202/'1. Assumptions and Sources'!$D$8))*'1. Assumptions and Sources'!$D$48-(($E$59+$E$60)*(D202/'1. Assumptions and Sources'!$D$8)+$E$61+$E$62+$E$63+$E$64))*(1+'1. Assumptions and Sources'!$D$12)^2)/12)))</f>
        <v>17.468128092510366</v>
      </c>
      <c r="I202" s="114">
        <f>(($E$31+$E$32+$E$33+$E$30+$E$35)*(D202/'1. Assumptions and Sources'!$D$8)-(($E$59+$E$60)*(D202/'1. Assumptions and Sources'!$D$8)+$E$61+$E$62+$E$63+$E$64))/(E202*0.01)</f>
        <v>2.5736368243177812</v>
      </c>
    </row>
    <row r="203" spans="2:9" ht="16.05" customHeight="1" x14ac:dyDescent="0.25">
      <c r="B203" s="62" t="s">
        <v>806</v>
      </c>
      <c r="C203" s="62" t="s">
        <v>1384</v>
      </c>
      <c r="D203" s="65">
        <f>'1. Assumptions and Sources'!$D$202</f>
        <v>0.6885</v>
      </c>
      <c r="E203" s="88">
        <f>'1. Assumptions and Sources'!$D$7*D203</f>
        <v>2283.9610500000003</v>
      </c>
      <c r="F203" s="88">
        <f>E203*'1. Assumptions and Sources'!$D$9</f>
        <v>1703.8349433000003</v>
      </c>
      <c r="G203" s="105">
        <f>($E$36*(D203/'1. Assumptions and Sources'!$D$8))-(($E$59+$E$60)*(D203/'1. Assumptions and Sources'!$D$8)+$E$61+$E$62+$E$63+$E$64)</f>
        <v>60.471437453232859</v>
      </c>
      <c r="H203" s="113">
        <f>'1. Assumptions and Sources'!$D$49+IF((($E$36*(D203/'1. Assumptions and Sources'!$D$8))*'1. Assumptions and Sources'!$D$46-(($E$59+$E$60)*(D203/'1. Assumptions and Sources'!$D$8)+$E$61+$E$62+$E$63+$E$64))&gt;=$D$55,$D$55/((($E$36*(D203/'1. Assumptions and Sources'!$D$8))*'1. Assumptions and Sources'!$D$46-(($E$59+$E$60)*(D203/'1. Assumptions and Sources'!$D$8)+$E$61+$E$62+$E$63+$E$64))/12),IF((($E$36*(D203/'1. Assumptions and Sources'!$D$8))*'1. Assumptions and Sources'!$D$46-(($E$59+$E$60)*(D203/'1. Assumptions and Sources'!$D$8)+$E$61+$E$62+$E$63+$E$64))+((($E$36*(D203/'1. Assumptions and Sources'!$D$8))*'1. Assumptions and Sources'!$D$47-(($E$59+$E$60)*(D203/'1. Assumptions and Sources'!$D$8)+$E$61+$E$62+$E$63+$E$64))*(1+'1. Assumptions and Sources'!$D$12))&gt;=$D$55,12+($D$55-(($E$36*(D203/'1. Assumptions and Sources'!$D$8))*'1. Assumptions and Sources'!$D$46-(($E$59+$E$60)*(D203/'1. Assumptions and Sources'!$D$8)+$E$61+$E$62+$E$63+$E$64)))/(((($E$36*(D203/'1. Assumptions and Sources'!$D$8))*'1. Assumptions and Sources'!$D$47-(($E$59+$E$60)*(D203/'1. Assumptions and Sources'!$D$8)+$E$61+$E$62+$E$63+$E$64))*(1+'1. Assumptions and Sources'!$D$12))/12),24+($D$55-(($E$36*(D203/'1. Assumptions and Sources'!$D$8))*'1. Assumptions and Sources'!$D$46-(($E$59+$E$60)*(D203/'1. Assumptions and Sources'!$D$8)+$E$61+$E$62+$E$63+$E$64))-((($E$36*(D203/'1. Assumptions and Sources'!$D$8))*'1. Assumptions and Sources'!$D$47-(($E$59+$E$60)*(D203/'1. Assumptions and Sources'!$D$8)+$E$61+$E$62+$E$63+$E$64))*(1+'1. Assumptions and Sources'!$D$12)))/(((($E$36*(D203/'1. Assumptions and Sources'!$D$8))*'1. Assumptions and Sources'!$D$48-(($E$59+$E$60)*(D203/'1. Assumptions and Sources'!$D$8)+$E$61+$E$62+$E$63+$E$64))*(1+'1. Assumptions and Sources'!$D$12)^2)/12)))</f>
        <v>14.818652445733267</v>
      </c>
      <c r="I203" s="114">
        <f>(($E$31+$E$32+$E$33+$E$30+$E$35)*(D203/'1. Assumptions and Sources'!$D$8)-(($E$59+$E$60)*(D203/'1. Assumptions and Sources'!$D$8)+$E$61+$E$62+$E$63+$E$64))/(E203*0.01)</f>
        <v>2.6128429151492245</v>
      </c>
    </row>
    <row r="204" spans="2:9" ht="16.05" customHeight="1" x14ac:dyDescent="0.25"/>
    <row r="205" spans="2:9" ht="16.05" customHeight="1" x14ac:dyDescent="0.25">
      <c r="C205" s="58" t="s">
        <v>1385</v>
      </c>
    </row>
  </sheetData>
  <mergeCells count="10">
    <mergeCell ref="B38:H38"/>
    <mergeCell ref="B57:H57"/>
    <mergeCell ref="B67:H67"/>
    <mergeCell ref="B76:H76"/>
    <mergeCell ref="B88:H88"/>
    <mergeCell ref="B2:H2"/>
    <mergeCell ref="B3:H3"/>
    <mergeCell ref="B5:H5"/>
    <mergeCell ref="B17:H17"/>
    <mergeCell ref="B28:H28"/>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E75B6"/>
    <pageSetUpPr fitToPage="1"/>
  </sheetPr>
  <dimension ref="B2:I52"/>
  <sheetViews>
    <sheetView showGridLines="0" zoomScale="90" zoomScaleNormal="90" workbookViewId="0"/>
  </sheetViews>
  <sheetFormatPr defaultColWidth="8.6640625" defaultRowHeight="13.8" x14ac:dyDescent="0.25"/>
  <cols>
    <col min="1" max="1" width="8.6640625" style="1"/>
    <col min="2" max="2" width="9" style="1" customWidth="1"/>
    <col min="3" max="3" width="34" style="1" customWidth="1"/>
    <col min="4" max="7" width="14" style="1" customWidth="1"/>
    <col min="8" max="8" width="15" style="1" customWidth="1"/>
    <col min="9" max="9" width="10" style="1" customWidth="1"/>
    <col min="10" max="16384" width="8.6640625" style="1"/>
  </cols>
  <sheetData>
    <row r="2" spans="2:9" ht="16.05" customHeight="1" x14ac:dyDescent="0.25">
      <c r="B2" s="183" t="s">
        <v>1386</v>
      </c>
      <c r="C2" s="183"/>
      <c r="D2" s="183"/>
      <c r="E2" s="183"/>
      <c r="F2" s="183"/>
      <c r="G2" s="183"/>
      <c r="H2" s="183"/>
      <c r="I2" s="183"/>
    </row>
    <row r="3" spans="2:9" ht="16.05" customHeight="1" x14ac:dyDescent="0.25">
      <c r="B3" s="184" t="s">
        <v>1387</v>
      </c>
      <c r="C3" s="184"/>
      <c r="D3" s="184"/>
      <c r="E3" s="184"/>
      <c r="F3" s="184"/>
      <c r="G3" s="184"/>
      <c r="H3" s="184"/>
      <c r="I3" s="184"/>
    </row>
    <row r="4" spans="2:9" ht="16.05" customHeight="1" x14ac:dyDescent="0.25"/>
    <row r="5" spans="2:9" ht="16.05" customHeight="1" x14ac:dyDescent="0.25">
      <c r="B5" s="185" t="s">
        <v>1388</v>
      </c>
      <c r="C5" s="185"/>
      <c r="D5" s="185"/>
      <c r="E5" s="185"/>
      <c r="F5" s="185"/>
      <c r="G5" s="185"/>
      <c r="H5" s="185"/>
      <c r="I5" s="185"/>
    </row>
    <row r="6" spans="2:9" ht="16.05" customHeight="1" x14ac:dyDescent="0.25">
      <c r="B6" s="60" t="s">
        <v>4</v>
      </c>
      <c r="C6" s="60" t="s">
        <v>1389</v>
      </c>
      <c r="D6" s="60" t="s">
        <v>164</v>
      </c>
      <c r="E6" s="60" t="s">
        <v>168</v>
      </c>
      <c r="F6" s="60" t="s">
        <v>171</v>
      </c>
      <c r="G6" s="60" t="s">
        <v>174</v>
      </c>
      <c r="H6" s="60" t="s">
        <v>1390</v>
      </c>
      <c r="I6" s="60" t="s">
        <v>393</v>
      </c>
    </row>
    <row r="7" spans="2:9" ht="16.05" customHeight="1" x14ac:dyDescent="0.25">
      <c r="B7" s="62" t="s">
        <v>639</v>
      </c>
      <c r="C7" s="62" t="s">
        <v>1391</v>
      </c>
      <c r="E7" s="84">
        <f>'1. Assumptions and Sources'!$D$46</f>
        <v>0.45</v>
      </c>
      <c r="F7" s="84">
        <f>'1. Assumptions and Sources'!$D$47</f>
        <v>0.92</v>
      </c>
      <c r="G7" s="84">
        <f>'1. Assumptions and Sources'!$D$48</f>
        <v>1</v>
      </c>
      <c r="I7" s="62" t="s">
        <v>403</v>
      </c>
    </row>
    <row r="8" spans="2:9" ht="16.05" customHeight="1" x14ac:dyDescent="0.25">
      <c r="B8" s="62" t="s">
        <v>642</v>
      </c>
      <c r="C8" s="62" t="s">
        <v>1392</v>
      </c>
      <c r="E8" s="66">
        <v>1</v>
      </c>
      <c r="F8" s="66">
        <f>1+'1. Assumptions and Sources'!$D$12</f>
        <v>1.087</v>
      </c>
      <c r="G8" s="66">
        <f>(1+'1. Assumptions and Sources'!$D$12)^2</f>
        <v>1.1815689999999999</v>
      </c>
      <c r="I8" s="62" t="s">
        <v>433</v>
      </c>
    </row>
    <row r="9" spans="2:9" ht="16.05" customHeight="1" x14ac:dyDescent="0.25">
      <c r="B9" s="62" t="s">
        <v>1393</v>
      </c>
      <c r="C9" s="62" t="s">
        <v>1394</v>
      </c>
      <c r="E9" s="67">
        <f>'3. Workings'!$D$13*E7*E8</f>
        <v>24687.665060800005</v>
      </c>
      <c r="F9" s="67">
        <f>'3. Workings'!$D$13*F7*F8</f>
        <v>54863.672372005414</v>
      </c>
      <c r="G9" s="67">
        <f>'3. Workings'!$D$13*G7*G8</f>
        <v>64822.621596054218</v>
      </c>
      <c r="H9" s="67">
        <f>SUM(E9:G9)</f>
        <v>144373.95902885962</v>
      </c>
      <c r="I9" s="62" t="s">
        <v>931</v>
      </c>
    </row>
    <row r="10" spans="2:9" ht="16.05" customHeight="1" x14ac:dyDescent="0.25">
      <c r="B10" s="62" t="s">
        <v>1395</v>
      </c>
      <c r="C10" s="62" t="s">
        <v>1396</v>
      </c>
      <c r="E10" s="88">
        <f>'3. Workings'!$D$36*E7*E8</f>
        <v>6.9119874961831522</v>
      </c>
      <c r="F10" s="88">
        <f>'3. Workings'!$D$36*F7*F8</f>
        <v>15.360586612628888</v>
      </c>
      <c r="G10" s="88">
        <f>'3. Workings'!$D$36*G7*G8</f>
        <v>18.148867008616957</v>
      </c>
      <c r="H10" s="88">
        <f>SUM(E10:G10)</f>
        <v>40.421441117428998</v>
      </c>
      <c r="I10" s="62" t="s">
        <v>398</v>
      </c>
    </row>
    <row r="11" spans="2:9" ht="16.05" customHeight="1" x14ac:dyDescent="0.25">
      <c r="B11" s="62" t="s">
        <v>1397</v>
      </c>
      <c r="C11" s="62" t="s">
        <v>656</v>
      </c>
      <c r="E11" s="88">
        <f>'3. Workings'!$D$65*E8</f>
        <v>2.5098821779084224</v>
      </c>
      <c r="F11" s="88">
        <f>'3. Workings'!$D$65*F8</f>
        <v>2.7282419273864549</v>
      </c>
      <c r="G11" s="88">
        <f>'3. Workings'!$D$65*G8</f>
        <v>2.9655989750690765</v>
      </c>
      <c r="H11" s="88">
        <f>SUM(E11:G11)</f>
        <v>8.2037230803639538</v>
      </c>
      <c r="I11" s="62" t="s">
        <v>398</v>
      </c>
    </row>
    <row r="12" spans="2:9" ht="16.05" customHeight="1" x14ac:dyDescent="0.25">
      <c r="B12" s="62" t="s">
        <v>1398</v>
      </c>
      <c r="C12" s="62" t="s">
        <v>652</v>
      </c>
      <c r="D12" s="88">
        <f>'3. Workings'!$D$55</f>
        <v>9.8904698000000018</v>
      </c>
      <c r="E12" s="88">
        <v>0</v>
      </c>
      <c r="F12" s="88">
        <v>0</v>
      </c>
      <c r="G12" s="88">
        <v>0</v>
      </c>
      <c r="H12" s="88">
        <f>D12</f>
        <v>9.8904698000000018</v>
      </c>
      <c r="I12" s="62" t="s">
        <v>398</v>
      </c>
    </row>
    <row r="13" spans="2:9" ht="16.05" customHeight="1" x14ac:dyDescent="0.25">
      <c r="B13" s="94" t="s">
        <v>1399</v>
      </c>
      <c r="C13" s="94" t="s">
        <v>1400</v>
      </c>
      <c r="D13" s="95">
        <f>-D12</f>
        <v>-9.8904698000000018</v>
      </c>
      <c r="E13" s="95">
        <f>E10-E11-E12</f>
        <v>4.4021053182747298</v>
      </c>
      <c r="F13" s="95">
        <f>F10-F11-F12</f>
        <v>12.632344685242433</v>
      </c>
      <c r="G13" s="95">
        <f>G10-G11-G12</f>
        <v>15.183268033547881</v>
      </c>
      <c r="H13" s="95">
        <f>SUM(E13:G13)</f>
        <v>32.217718037065048</v>
      </c>
      <c r="I13" s="94" t="s">
        <v>398</v>
      </c>
    </row>
    <row r="14" spans="2:9" ht="16.05" customHeight="1" x14ac:dyDescent="0.25">
      <c r="B14" s="62" t="s">
        <v>1401</v>
      </c>
      <c r="C14" s="62" t="s">
        <v>1402</v>
      </c>
      <c r="D14" s="88">
        <f>D13</f>
        <v>-9.8904698000000018</v>
      </c>
      <c r="E14" s="88">
        <f>IF(E13&gt;0,E13*(1-'1. Assumptions and Sources'!$D$50),E13)</f>
        <v>3.3566053051844813</v>
      </c>
      <c r="F14" s="88">
        <f>IF(F13&gt;0,F13*(1-'1. Assumptions and Sources'!$D$50),F13)</f>
        <v>9.6321628224973548</v>
      </c>
      <c r="G14" s="88">
        <f>IF(G13&gt;0,G13*(1-'1. Assumptions and Sources'!$D$50),G13)</f>
        <v>11.577241875580258</v>
      </c>
      <c r="H14" s="88">
        <f>SUM(E14:G14)</f>
        <v>24.566010003262093</v>
      </c>
      <c r="I14" s="62" t="s">
        <v>398</v>
      </c>
    </row>
    <row r="15" spans="2:9" ht="16.05" customHeight="1" x14ac:dyDescent="0.25">
      <c r="B15" s="62" t="s">
        <v>1403</v>
      </c>
      <c r="C15" s="62" t="s">
        <v>1404</v>
      </c>
      <c r="D15" s="88">
        <f>D13</f>
        <v>-9.8904698000000018</v>
      </c>
      <c r="E15" s="88">
        <f>D15+E13</f>
        <v>-5.4883644817252719</v>
      </c>
      <c r="F15" s="88">
        <f>E15+F13</f>
        <v>7.1439802035171613</v>
      </c>
      <c r="G15" s="88">
        <f>F15+G13</f>
        <v>22.327248237065042</v>
      </c>
      <c r="I15" s="62" t="s">
        <v>398</v>
      </c>
    </row>
    <row r="16" spans="2:9" ht="16.05" customHeight="1" x14ac:dyDescent="0.25"/>
    <row r="17" spans="2:9" ht="16.05" customHeight="1" x14ac:dyDescent="0.25"/>
    <row r="18" spans="2:9" ht="16.05" customHeight="1" x14ac:dyDescent="0.25">
      <c r="B18" s="185" t="s">
        <v>1405</v>
      </c>
      <c r="C18" s="185"/>
      <c r="D18" s="185"/>
      <c r="E18" s="185"/>
      <c r="F18" s="185"/>
      <c r="G18" s="185"/>
      <c r="H18" s="185"/>
      <c r="I18" s="185"/>
    </row>
    <row r="19" spans="2:9" ht="16.05" customHeight="1" x14ac:dyDescent="0.25">
      <c r="B19" s="60" t="s">
        <v>4</v>
      </c>
      <c r="C19" s="60" t="s">
        <v>1389</v>
      </c>
      <c r="D19" s="60" t="s">
        <v>164</v>
      </c>
      <c r="E19" s="60" t="s">
        <v>168</v>
      </c>
      <c r="F19" s="60" t="s">
        <v>171</v>
      </c>
      <c r="G19" s="60" t="s">
        <v>174</v>
      </c>
      <c r="H19" s="60" t="s">
        <v>1390</v>
      </c>
      <c r="I19" s="60" t="s">
        <v>393</v>
      </c>
    </row>
    <row r="20" spans="2:9" ht="16.05" customHeight="1" x14ac:dyDescent="0.25">
      <c r="B20" s="62" t="s">
        <v>639</v>
      </c>
      <c r="C20" s="62" t="s">
        <v>1391</v>
      </c>
      <c r="E20" s="84">
        <f>'1. Assumptions and Sources'!$D$46</f>
        <v>0.45</v>
      </c>
      <c r="F20" s="84">
        <f>'1. Assumptions and Sources'!$D$47</f>
        <v>0.92</v>
      </c>
      <c r="G20" s="84">
        <f>'1. Assumptions and Sources'!$D$48</f>
        <v>1</v>
      </c>
      <c r="I20" s="62" t="s">
        <v>403</v>
      </c>
    </row>
    <row r="21" spans="2:9" ht="16.05" customHeight="1" x14ac:dyDescent="0.25">
      <c r="B21" s="62" t="s">
        <v>642</v>
      </c>
      <c r="C21" s="62" t="s">
        <v>1392</v>
      </c>
      <c r="E21" s="66">
        <v>1</v>
      </c>
      <c r="F21" s="66">
        <f>1+'1. Assumptions and Sources'!$D$12</f>
        <v>1.087</v>
      </c>
      <c r="G21" s="66">
        <f>(1+'1. Assumptions and Sources'!$D$12)^2</f>
        <v>1.1815689999999999</v>
      </c>
      <c r="I21" s="62" t="s">
        <v>433</v>
      </c>
    </row>
    <row r="22" spans="2:9" ht="16.05" customHeight="1" x14ac:dyDescent="0.25">
      <c r="B22" s="62" t="s">
        <v>1393</v>
      </c>
      <c r="C22" s="62" t="s">
        <v>1394</v>
      </c>
      <c r="E22" s="67">
        <f>'3. Workings'!$E$13*E20*E21</f>
        <v>74062.995182400002</v>
      </c>
      <c r="F22" s="67">
        <f>'3. Workings'!$E$13*F20*F21</f>
        <v>164591.01711601624</v>
      </c>
      <c r="G22" s="67">
        <f>'3. Workings'!$E$13*G20*G21</f>
        <v>194467.86478816261</v>
      </c>
      <c r="H22" s="67">
        <f>SUM(E22:G22)</f>
        <v>433121.87708657887</v>
      </c>
      <c r="I22" s="62" t="s">
        <v>931</v>
      </c>
    </row>
    <row r="23" spans="2:9" ht="16.05" customHeight="1" x14ac:dyDescent="0.25">
      <c r="B23" s="62" t="s">
        <v>1395</v>
      </c>
      <c r="C23" s="62" t="s">
        <v>1396</v>
      </c>
      <c r="E23" s="88">
        <f>'3. Workings'!$E$36*E20*E21</f>
        <v>21.244775265452549</v>
      </c>
      <c r="F23" s="88">
        <f>'3. Workings'!$E$36*F20*F21</f>
        <v>47.212500125473703</v>
      </c>
      <c r="G23" s="88">
        <f>'3. Workings'!$E$36*G20*G21</f>
        <v>55.782595256945548</v>
      </c>
      <c r="H23" s="88">
        <f>SUM(E23:G23)</f>
        <v>124.23987064787181</v>
      </c>
      <c r="I23" s="62" t="s">
        <v>398</v>
      </c>
    </row>
    <row r="24" spans="2:9" ht="16.05" customHeight="1" x14ac:dyDescent="0.25">
      <c r="B24" s="62" t="s">
        <v>1397</v>
      </c>
      <c r="C24" s="62" t="s">
        <v>656</v>
      </c>
      <c r="E24" s="88">
        <f>'3. Workings'!$E$65*E21</f>
        <v>3.9006065337252656</v>
      </c>
      <c r="F24" s="88">
        <f>'3. Workings'!$E$65*F21</f>
        <v>4.2399593021593631</v>
      </c>
      <c r="G24" s="88">
        <f>'3. Workings'!$E$65*G21</f>
        <v>4.608835761447228</v>
      </c>
      <c r="H24" s="88">
        <f>SUM(E24:G24)</f>
        <v>12.749401597331858</v>
      </c>
      <c r="I24" s="62" t="s">
        <v>398</v>
      </c>
    </row>
    <row r="25" spans="2:9" ht="16.05" customHeight="1" x14ac:dyDescent="0.25">
      <c r="B25" s="62" t="s">
        <v>1398</v>
      </c>
      <c r="C25" s="62" t="s">
        <v>652</v>
      </c>
      <c r="D25" s="88">
        <f>'3. Workings'!$D$55</f>
        <v>9.8904698000000018</v>
      </c>
      <c r="E25" s="88">
        <v>0</v>
      </c>
      <c r="F25" s="88">
        <v>0</v>
      </c>
      <c r="G25" s="88">
        <v>0</v>
      </c>
      <c r="H25" s="88">
        <f>D25</f>
        <v>9.8904698000000018</v>
      </c>
      <c r="I25" s="62" t="s">
        <v>398</v>
      </c>
    </row>
    <row r="26" spans="2:9" ht="16.05" customHeight="1" x14ac:dyDescent="0.25">
      <c r="B26" s="94" t="s">
        <v>1399</v>
      </c>
      <c r="C26" s="94" t="s">
        <v>1400</v>
      </c>
      <c r="D26" s="95">
        <f>-D25</f>
        <v>-9.8904698000000018</v>
      </c>
      <c r="E26" s="95">
        <f>E23-E24-E25</f>
        <v>17.344168731727283</v>
      </c>
      <c r="F26" s="95">
        <f>F23-F24-F25</f>
        <v>42.97254082331434</v>
      </c>
      <c r="G26" s="95">
        <f>G23-G24-G25</f>
        <v>51.173759495498317</v>
      </c>
      <c r="H26" s="95">
        <f>SUM(E26:G26)</f>
        <v>111.49046905053994</v>
      </c>
      <c r="I26" s="94" t="s">
        <v>398</v>
      </c>
    </row>
    <row r="27" spans="2:9" ht="16.05" customHeight="1" x14ac:dyDescent="0.25">
      <c r="B27" s="62" t="s">
        <v>1401</v>
      </c>
      <c r="C27" s="62" t="s">
        <v>1402</v>
      </c>
      <c r="D27" s="88">
        <f>D26</f>
        <v>-9.8904698000000018</v>
      </c>
      <c r="E27" s="88">
        <f>IF(E26&gt;0,E26*(1-'1. Assumptions and Sources'!$D$50),E26)</f>
        <v>13.224928657942053</v>
      </c>
      <c r="F27" s="88">
        <f>IF(F26&gt;0,F26*(1-'1. Assumptions and Sources'!$D$50),F26)</f>
        <v>32.766562377777184</v>
      </c>
      <c r="G27" s="88">
        <f>IF(G26&gt;0,G26*(1-'1. Assumptions and Sources'!$D$50),G26)</f>
        <v>39.019991615317466</v>
      </c>
      <c r="H27" s="88">
        <f>SUM(E27:G27)</f>
        <v>85.011482651036701</v>
      </c>
      <c r="I27" s="62" t="s">
        <v>398</v>
      </c>
    </row>
    <row r="28" spans="2:9" ht="16.05" customHeight="1" x14ac:dyDescent="0.25">
      <c r="B28" s="62" t="s">
        <v>1403</v>
      </c>
      <c r="C28" s="62" t="s">
        <v>1404</v>
      </c>
      <c r="D28" s="88">
        <f>D26</f>
        <v>-9.8904698000000018</v>
      </c>
      <c r="E28" s="88">
        <f>D28+E26</f>
        <v>7.4536989317272813</v>
      </c>
      <c r="F28" s="88">
        <f>E28+F26</f>
        <v>50.426239755041621</v>
      </c>
      <c r="G28" s="88">
        <f>F28+G26</f>
        <v>101.59999925053994</v>
      </c>
      <c r="I28" s="62" t="s">
        <v>398</v>
      </c>
    </row>
    <row r="29" spans="2:9" ht="16.05" customHeight="1" x14ac:dyDescent="0.25"/>
    <row r="30" spans="2:9" ht="16.05" customHeight="1" x14ac:dyDescent="0.25"/>
    <row r="31" spans="2:9" ht="16.05" customHeight="1" x14ac:dyDescent="0.25">
      <c r="B31" s="185" t="s">
        <v>1406</v>
      </c>
      <c r="C31" s="185"/>
      <c r="D31" s="185"/>
      <c r="E31" s="185"/>
      <c r="F31" s="185"/>
      <c r="G31" s="185"/>
      <c r="H31" s="185"/>
      <c r="I31" s="185"/>
    </row>
    <row r="32" spans="2:9" ht="16.05" customHeight="1" x14ac:dyDescent="0.25">
      <c r="B32" s="60" t="s">
        <v>4</v>
      </c>
      <c r="C32" s="60" t="s">
        <v>1389</v>
      </c>
      <c r="D32" s="60" t="s">
        <v>164</v>
      </c>
      <c r="E32" s="60" t="s">
        <v>168</v>
      </c>
      <c r="F32" s="60" t="s">
        <v>171</v>
      </c>
      <c r="G32" s="60" t="s">
        <v>174</v>
      </c>
      <c r="H32" s="60" t="s">
        <v>1390</v>
      </c>
      <c r="I32" s="60" t="s">
        <v>393</v>
      </c>
    </row>
    <row r="33" spans="2:9" ht="16.05" customHeight="1" x14ac:dyDescent="0.25">
      <c r="B33" s="62" t="s">
        <v>639</v>
      </c>
      <c r="C33" s="62" t="s">
        <v>1391</v>
      </c>
      <c r="E33" s="84">
        <f>'1. Assumptions and Sources'!$D$46</f>
        <v>0.45</v>
      </c>
      <c r="F33" s="84">
        <f>'1. Assumptions and Sources'!$D$47</f>
        <v>0.92</v>
      </c>
      <c r="G33" s="84">
        <f>'1. Assumptions and Sources'!$D$48</f>
        <v>1</v>
      </c>
      <c r="I33" s="62" t="s">
        <v>403</v>
      </c>
    </row>
    <row r="34" spans="2:9" ht="16.05" customHeight="1" x14ac:dyDescent="0.25">
      <c r="B34" s="62" t="s">
        <v>642</v>
      </c>
      <c r="C34" s="62" t="s">
        <v>1392</v>
      </c>
      <c r="E34" s="66">
        <v>1</v>
      </c>
      <c r="F34" s="66">
        <f>1+'1. Assumptions and Sources'!$D$12</f>
        <v>1.087</v>
      </c>
      <c r="G34" s="66">
        <f>(1+'1. Assumptions and Sources'!$D$12)^2</f>
        <v>1.1815689999999999</v>
      </c>
      <c r="I34" s="62" t="s">
        <v>433</v>
      </c>
    </row>
    <row r="35" spans="2:9" ht="16.05" customHeight="1" x14ac:dyDescent="0.25">
      <c r="B35" s="62" t="s">
        <v>1393</v>
      </c>
      <c r="C35" s="62" t="s">
        <v>1394</v>
      </c>
      <c r="E35" s="67">
        <f>'3. Workings'!$F$13*E33*E34</f>
        <v>123438.32530400003</v>
      </c>
      <c r="F35" s="67">
        <f>'3. Workings'!$F$13*F33*F34</f>
        <v>274318.36186002707</v>
      </c>
      <c r="G35" s="67">
        <f>'3. Workings'!$F$13*G33*G34</f>
        <v>324113.10798027104</v>
      </c>
      <c r="H35" s="67">
        <f>SUM(E35:G35)</f>
        <v>721869.79514429811</v>
      </c>
      <c r="I35" s="62" t="s">
        <v>931</v>
      </c>
    </row>
    <row r="36" spans="2:9" ht="16.05" customHeight="1" x14ac:dyDescent="0.25">
      <c r="B36" s="62" t="s">
        <v>1395</v>
      </c>
      <c r="C36" s="62" t="s">
        <v>1396</v>
      </c>
      <c r="E36" s="88">
        <f>'3. Workings'!$F$36*E33*E34</f>
        <v>36.25598007059272</v>
      </c>
      <c r="F36" s="88">
        <f>'3. Workings'!$F$36*F33*F34</f>
        <v>80.572067355101211</v>
      </c>
      <c r="G36" s="88">
        <f>'3. Workings'!$F$36*G33*G34</f>
        <v>95.197649146733696</v>
      </c>
      <c r="H36" s="88">
        <f>SUM(E36:G36)</f>
        <v>212.02569657242765</v>
      </c>
      <c r="I36" s="62" t="s">
        <v>398</v>
      </c>
    </row>
    <row r="37" spans="2:9" ht="16.05" customHeight="1" x14ac:dyDescent="0.25">
      <c r="B37" s="62" t="s">
        <v>1397</v>
      </c>
      <c r="C37" s="62" t="s">
        <v>656</v>
      </c>
      <c r="E37" s="88">
        <f>'3. Workings'!$F$65*E34</f>
        <v>5.2913308895421096</v>
      </c>
      <c r="F37" s="88">
        <f>'3. Workings'!$F$65*F34</f>
        <v>5.7516766769322727</v>
      </c>
      <c r="G37" s="88">
        <f>'3. Workings'!$F$65*G34</f>
        <v>6.2520725478253798</v>
      </c>
      <c r="H37" s="88">
        <f>SUM(E37:G37)</f>
        <v>17.295080114299765</v>
      </c>
      <c r="I37" s="62" t="s">
        <v>398</v>
      </c>
    </row>
    <row r="38" spans="2:9" ht="16.05" customHeight="1" x14ac:dyDescent="0.25">
      <c r="B38" s="62" t="s">
        <v>1398</v>
      </c>
      <c r="C38" s="62" t="s">
        <v>652</v>
      </c>
      <c r="D38" s="88">
        <f>'3. Workings'!$D$55</f>
        <v>9.8904698000000018</v>
      </c>
      <c r="E38" s="88">
        <v>0</v>
      </c>
      <c r="F38" s="88">
        <v>0</v>
      </c>
      <c r="G38" s="88">
        <v>0</v>
      </c>
      <c r="H38" s="88">
        <f>D38</f>
        <v>9.8904698000000018</v>
      </c>
      <c r="I38" s="62" t="s">
        <v>398</v>
      </c>
    </row>
    <row r="39" spans="2:9" ht="16.05" customHeight="1" x14ac:dyDescent="0.25">
      <c r="B39" s="94" t="s">
        <v>1399</v>
      </c>
      <c r="C39" s="94" t="s">
        <v>1400</v>
      </c>
      <c r="D39" s="95">
        <f>-D38</f>
        <v>-9.8904698000000018</v>
      </c>
      <c r="E39" s="95">
        <f>E36-E37-E38</f>
        <v>30.964649181050611</v>
      </c>
      <c r="F39" s="95">
        <f>F36-F37-F38</f>
        <v>74.820390678168934</v>
      </c>
      <c r="G39" s="95">
        <f>G36-G37-G38</f>
        <v>88.945576598908318</v>
      </c>
      <c r="H39" s="95">
        <f>SUM(E39:G39)</f>
        <v>194.73061645812788</v>
      </c>
      <c r="I39" s="94" t="s">
        <v>398</v>
      </c>
    </row>
    <row r="40" spans="2:9" ht="16.05" customHeight="1" x14ac:dyDescent="0.25">
      <c r="B40" s="62" t="s">
        <v>1401</v>
      </c>
      <c r="C40" s="62" t="s">
        <v>1402</v>
      </c>
      <c r="D40" s="88">
        <f>D39</f>
        <v>-9.8904698000000018</v>
      </c>
      <c r="E40" s="88">
        <f>IF(E39&gt;0,E39*(1-'1. Assumptions and Sources'!$D$50),E39)</f>
        <v>23.610545000551088</v>
      </c>
      <c r="F40" s="88">
        <f>IF(F39&gt;0,F39*(1-'1. Assumptions and Sources'!$D$50),F39)</f>
        <v>57.050547892103808</v>
      </c>
      <c r="G40" s="88">
        <f>IF(G39&gt;0,G39*(1-'1. Assumptions and Sources'!$D$50),G39)</f>
        <v>67.821002156667589</v>
      </c>
      <c r="H40" s="88">
        <f>SUM(E40:G40)</f>
        <v>148.48209504932248</v>
      </c>
      <c r="I40" s="62" t="s">
        <v>398</v>
      </c>
    </row>
    <row r="41" spans="2:9" ht="16.05" customHeight="1" x14ac:dyDescent="0.25">
      <c r="B41" s="62" t="s">
        <v>1403</v>
      </c>
      <c r="C41" s="62" t="s">
        <v>1404</v>
      </c>
      <c r="D41" s="88">
        <f>D39</f>
        <v>-9.8904698000000018</v>
      </c>
      <c r="E41" s="88">
        <f>D41+E39</f>
        <v>21.074179381050609</v>
      </c>
      <c r="F41" s="88">
        <f>E41+F39</f>
        <v>95.894570059219546</v>
      </c>
      <c r="G41" s="88">
        <f>F41+G39</f>
        <v>184.84014665812788</v>
      </c>
      <c r="I41" s="62" t="s">
        <v>398</v>
      </c>
    </row>
    <row r="42" spans="2:9" ht="16.05" customHeight="1" x14ac:dyDescent="0.25"/>
    <row r="43" spans="2:9" ht="16.05" customHeight="1" x14ac:dyDescent="0.25"/>
    <row r="44" spans="2:9" ht="16.05" customHeight="1" x14ac:dyDescent="0.25">
      <c r="B44" s="185" t="s">
        <v>1407</v>
      </c>
      <c r="C44" s="185"/>
      <c r="D44" s="185"/>
      <c r="E44" s="185"/>
      <c r="F44" s="185"/>
      <c r="G44" s="185"/>
      <c r="H44" s="185"/>
      <c r="I44" s="185"/>
    </row>
    <row r="45" spans="2:9" ht="16.05" customHeight="1" x14ac:dyDescent="0.25">
      <c r="B45" s="60" t="s">
        <v>4</v>
      </c>
      <c r="C45" s="60" t="s">
        <v>155</v>
      </c>
      <c r="D45" s="60" t="s">
        <v>23</v>
      </c>
      <c r="E45" s="60" t="s">
        <v>24</v>
      </c>
      <c r="F45" s="60" t="s">
        <v>25</v>
      </c>
      <c r="G45" s="60" t="s">
        <v>393</v>
      </c>
    </row>
    <row r="46" spans="2:9" ht="16.05" customHeight="1" x14ac:dyDescent="0.25">
      <c r="B46" s="62" t="s">
        <v>1408</v>
      </c>
      <c r="C46" s="62" t="s">
        <v>1409</v>
      </c>
      <c r="D46" s="88">
        <f>'3. Workings'!$D$55</f>
        <v>9.8904698000000018</v>
      </c>
      <c r="E46" s="88">
        <f>'3. Workings'!$D$55</f>
        <v>9.8904698000000018</v>
      </c>
      <c r="F46" s="88">
        <f>'3. Workings'!$D$55</f>
        <v>9.8904698000000018</v>
      </c>
      <c r="G46" s="62" t="s">
        <v>398</v>
      </c>
    </row>
    <row r="47" spans="2:9" ht="16.05" customHeight="1" x14ac:dyDescent="0.25">
      <c r="B47" s="94" t="s">
        <v>1410</v>
      </c>
      <c r="C47" s="94" t="s">
        <v>962</v>
      </c>
      <c r="D47" s="95">
        <f>$H$13</f>
        <v>32.217718037065048</v>
      </c>
      <c r="E47" s="95">
        <f>$H$26</f>
        <v>111.49046905053994</v>
      </c>
      <c r="F47" s="95">
        <f>$H$39</f>
        <v>194.73061645812788</v>
      </c>
      <c r="G47" s="94" t="s">
        <v>398</v>
      </c>
    </row>
    <row r="48" spans="2:9" ht="16.05" customHeight="1" x14ac:dyDescent="0.25">
      <c r="B48" s="62" t="s">
        <v>1411</v>
      </c>
      <c r="C48" s="62" t="s">
        <v>1412</v>
      </c>
      <c r="D48" s="88">
        <f>$H$14</f>
        <v>24.566010003262093</v>
      </c>
      <c r="E48" s="88">
        <f>$H$27</f>
        <v>85.011482651036701</v>
      </c>
      <c r="F48" s="88">
        <f>$H$40</f>
        <v>148.48209504932248</v>
      </c>
      <c r="G48" s="62" t="s">
        <v>398</v>
      </c>
    </row>
    <row r="49" spans="2:7" ht="16.05" customHeight="1" x14ac:dyDescent="0.25">
      <c r="B49" s="89" t="s">
        <v>1413</v>
      </c>
      <c r="C49" s="89" t="s">
        <v>964</v>
      </c>
      <c r="D49" s="90">
        <f>-'3. Workings'!$D$55+E13/(1+'1. Assumptions and Sources'!$D$15)+F13/(1+'1. Assumptions and Sources'!$D$15)^2+G13/(1+'1. Assumptions and Sources'!$D$15)^3</f>
        <v>14.917559502756596</v>
      </c>
      <c r="E49" s="90">
        <f>-'3. Workings'!$D$55+E26/(1+'1. Assumptions and Sources'!$D$15)+F26/(1+'1. Assumptions and Sources'!$D$15)^2+G26/(1+'1. Assumptions and Sources'!$D$15)^3</f>
        <v>76.277312801449369</v>
      </c>
      <c r="F49" s="90">
        <f>-'3. Workings'!$D$55+E39/(1+'1. Assumptions and Sources'!$D$15)+F39/(1+'1. Assumptions and Sources'!$D$15)^2+G39/(1+'1. Assumptions and Sources'!$D$15)^3</f>
        <v>140.712600315456</v>
      </c>
      <c r="G49" s="89" t="s">
        <v>398</v>
      </c>
    </row>
    <row r="50" spans="2:7" ht="16.05" customHeight="1" x14ac:dyDescent="0.25">
      <c r="B50" s="89" t="s">
        <v>1414</v>
      </c>
      <c r="C50" s="89" t="s">
        <v>34</v>
      </c>
      <c r="D50" s="92">
        <f>'1. Assumptions and Sources'!$D$49+IF(E13&gt;='3. Workings'!$D$55,'3. Workings'!$D$55/(E13/12),IF(E13+F13&gt;='3. Workings'!$D$55,12+('3. Workings'!$D$55-E13)/(F13/12),IF(E13+F13+G13&gt;='3. Workings'!$D$55,24+('3. Workings'!$D$55-E13-F13)/(G13/12),"beyond 3 years")))</f>
        <v>27.213630202605518</v>
      </c>
      <c r="E50" s="92">
        <f>'1. Assumptions and Sources'!$D$49+IF(E26&gt;='3. Workings'!$D$55,'3. Workings'!$D$55/(E26/12),IF(E26+F26&gt;='3. Workings'!$D$55,12+('3. Workings'!$D$55-E26)/(F26/12),IF(E26+F26+G26&gt;='3. Workings'!$D$55,24+('3. Workings'!$D$55-E26-F26)/(G26/12),"beyond 3 years")))</f>
        <v>16.842970651161341</v>
      </c>
      <c r="F50" s="92">
        <f>'1. Assumptions and Sources'!$D$49+IF(E39&gt;='3. Workings'!$D$55,'3. Workings'!$D$55/(E39/12),IF(E39+F39&gt;='3. Workings'!$D$55,12+('3. Workings'!$D$55-E39)/(F39/12),IF(E39+F39+G39&gt;='3. Workings'!$D$55,24+('3. Workings'!$D$55-E39-F39)/(G39/12),"beyond 3 years")))</f>
        <v>13.832939843950562</v>
      </c>
      <c r="G50" s="89" t="s">
        <v>533</v>
      </c>
    </row>
    <row r="51" spans="2:7" ht="16.05" customHeight="1" x14ac:dyDescent="0.25"/>
    <row r="52" spans="2:7" ht="16.05" customHeight="1" x14ac:dyDescent="0.25">
      <c r="C52" s="58" t="s">
        <v>1415</v>
      </c>
    </row>
  </sheetData>
  <mergeCells count="6">
    <mergeCell ref="B44:I44"/>
    <mergeCell ref="B2:I2"/>
    <mergeCell ref="B3:I3"/>
    <mergeCell ref="B5:I5"/>
    <mergeCell ref="B18:I18"/>
    <mergeCell ref="B31:I3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E75B6"/>
    <pageSetUpPr fitToPage="1"/>
  </sheetPr>
  <dimension ref="B2:H60"/>
  <sheetViews>
    <sheetView showGridLines="0" zoomScale="90" zoomScaleNormal="90" workbookViewId="0"/>
  </sheetViews>
  <sheetFormatPr defaultColWidth="8.6640625" defaultRowHeight="13.8" x14ac:dyDescent="0.25"/>
  <cols>
    <col min="1" max="1" width="8.6640625" style="1"/>
    <col min="2" max="2" width="9" style="1" customWidth="1"/>
    <col min="3" max="3" width="50" style="1" customWidth="1"/>
    <col min="4" max="7" width="15" style="1" customWidth="1"/>
    <col min="8" max="8" width="66" style="1" customWidth="1"/>
    <col min="9" max="16384" width="8.6640625" style="1"/>
  </cols>
  <sheetData>
    <row r="2" spans="2:8" ht="16.05" customHeight="1" x14ac:dyDescent="0.25">
      <c r="B2" s="183" t="s">
        <v>1416</v>
      </c>
      <c r="C2" s="183"/>
      <c r="D2" s="183"/>
      <c r="E2" s="183"/>
      <c r="F2" s="183"/>
      <c r="G2" s="183"/>
      <c r="H2" s="183"/>
    </row>
    <row r="3" spans="2:8" ht="16.05" customHeight="1" x14ac:dyDescent="0.25">
      <c r="B3" s="184" t="s">
        <v>1417</v>
      </c>
      <c r="C3" s="184"/>
      <c r="D3" s="184"/>
      <c r="E3" s="184"/>
      <c r="F3" s="184"/>
      <c r="G3" s="184"/>
      <c r="H3" s="184"/>
    </row>
    <row r="4" spans="2:8" ht="16.05" customHeight="1" x14ac:dyDescent="0.25"/>
    <row r="5" spans="2:8" ht="16.05" customHeight="1" x14ac:dyDescent="0.25">
      <c r="B5" s="185" t="s">
        <v>1418</v>
      </c>
      <c r="C5" s="185"/>
      <c r="D5" s="185"/>
      <c r="E5" s="185"/>
      <c r="F5" s="185"/>
      <c r="G5" s="185"/>
      <c r="H5" s="185"/>
    </row>
    <row r="6" spans="2:8" ht="16.05" customHeight="1" x14ac:dyDescent="0.25">
      <c r="B6" s="60" t="s">
        <v>4</v>
      </c>
      <c r="C6" s="60" t="s">
        <v>155</v>
      </c>
      <c r="D6" s="60" t="s">
        <v>23</v>
      </c>
      <c r="E6" s="60" t="s">
        <v>24</v>
      </c>
      <c r="F6" s="60" t="s">
        <v>25</v>
      </c>
      <c r="G6" s="60" t="s">
        <v>393</v>
      </c>
      <c r="H6" s="60" t="s">
        <v>1035</v>
      </c>
    </row>
    <row r="7" spans="2:8" ht="16.05" customHeight="1" x14ac:dyDescent="0.25">
      <c r="B7" s="62" t="s">
        <v>1419</v>
      </c>
      <c r="C7" s="62" t="s">
        <v>1420</v>
      </c>
      <c r="D7" s="79">
        <f>'1. Assumptions and Sources'!$D$24*'1. Assumptions and Sources'!$D$51</f>
        <v>1750</v>
      </c>
      <c r="E7" s="79">
        <f>'1. Assumptions and Sources'!$D$24*'1. Assumptions and Sources'!$D$51</f>
        <v>1750</v>
      </c>
      <c r="F7" s="79">
        <f>'1. Assumptions and Sources'!$D$24*'1. Assumptions and Sources'!$D$51</f>
        <v>1750</v>
      </c>
      <c r="G7" s="62" t="s">
        <v>437</v>
      </c>
      <c r="H7" s="62" t="s">
        <v>1421</v>
      </c>
    </row>
    <row r="8" spans="2:8" ht="16.05" customHeight="1" x14ac:dyDescent="0.25">
      <c r="B8" s="62" t="s">
        <v>1422</v>
      </c>
      <c r="C8" s="62" t="s">
        <v>1052</v>
      </c>
      <c r="D8" s="115">
        <f>'3. Workings'!D19</f>
        <v>1.23</v>
      </c>
      <c r="E8" s="115">
        <f>'3. Workings'!E19</f>
        <v>1.23</v>
      </c>
      <c r="F8" s="115">
        <f>'3. Workings'!F19</f>
        <v>1.23</v>
      </c>
      <c r="G8" s="62" t="s">
        <v>452</v>
      </c>
      <c r="H8" s="62" t="s">
        <v>1423</v>
      </c>
    </row>
    <row r="9" spans="2:8" ht="16.05" customHeight="1" x14ac:dyDescent="0.25">
      <c r="B9" s="62" t="s">
        <v>1424</v>
      </c>
      <c r="C9" s="62" t="s">
        <v>1425</v>
      </c>
      <c r="D9" s="79">
        <f>'3. Workings'!D19*'1. Assumptions and Sources'!D$55</f>
        <v>369</v>
      </c>
      <c r="E9" s="79">
        <f>'3. Workings'!E19*'1. Assumptions and Sources'!E$55</f>
        <v>307.5</v>
      </c>
      <c r="F9" s="79">
        <f>'3. Workings'!F19*'1. Assumptions and Sources'!F$55</f>
        <v>246</v>
      </c>
      <c r="G9" s="62" t="s">
        <v>437</v>
      </c>
      <c r="H9" s="62" t="s">
        <v>1426</v>
      </c>
    </row>
    <row r="10" spans="2:8" ht="16.05" customHeight="1" x14ac:dyDescent="0.25">
      <c r="B10" s="62" t="s">
        <v>1427</v>
      </c>
      <c r="C10" s="62" t="s">
        <v>1428</v>
      </c>
      <c r="D10" s="79">
        <f>D7-D9</f>
        <v>1381</v>
      </c>
      <c r="E10" s="79">
        <f>E7-E9</f>
        <v>1442.5</v>
      </c>
      <c r="F10" s="79">
        <f>F7-F9</f>
        <v>1504</v>
      </c>
      <c r="G10" s="62" t="s">
        <v>437</v>
      </c>
      <c r="H10" s="62" t="s">
        <v>1429</v>
      </c>
    </row>
    <row r="11" spans="2:8" ht="16.05" customHeight="1" x14ac:dyDescent="0.25">
      <c r="B11" s="62" t="s">
        <v>1430</v>
      </c>
      <c r="C11" s="62" t="s">
        <v>1431</v>
      </c>
      <c r="D11" s="79">
        <f>'3. Workings'!D65*10000000/'3. Workings'!D13</f>
        <v>457.49445209873983</v>
      </c>
      <c r="E11" s="79">
        <f>'3. Workings'!E65*10000000/'3. Workings'!E13</f>
        <v>236.99729343291327</v>
      </c>
      <c r="F11" s="79">
        <f>'3. Workings'!F65*10000000/'3. Workings'!F13</f>
        <v>192.89786169974795</v>
      </c>
      <c r="G11" s="62" t="s">
        <v>437</v>
      </c>
      <c r="H11" s="62" t="s">
        <v>1432</v>
      </c>
    </row>
    <row r="12" spans="2:8" ht="16.05" customHeight="1" x14ac:dyDescent="0.25">
      <c r="B12" s="62" t="s">
        <v>1433</v>
      </c>
      <c r="C12" s="62" t="s">
        <v>1434</v>
      </c>
      <c r="D12" s="79">
        <f>('3. Workings'!D31+'3. Workings'!D32+'3. Workings'!D33)*10000000/'3. Workings'!D13</f>
        <v>1426.9736842105267</v>
      </c>
      <c r="E12" s="79">
        <f>('3. Workings'!E31+'3. Workings'!E32+'3. Workings'!E33)*10000000/'3. Workings'!E13</f>
        <v>1426.9736842105267</v>
      </c>
      <c r="F12" s="79">
        <f>('3. Workings'!F31+'3. Workings'!F32+'3. Workings'!F33)*10000000/'3. Workings'!F13</f>
        <v>1426.9736842105262</v>
      </c>
      <c r="G12" s="62" t="s">
        <v>437</v>
      </c>
      <c r="H12" s="62" t="s">
        <v>1435</v>
      </c>
    </row>
    <row r="13" spans="2:8" ht="16.05" customHeight="1" x14ac:dyDescent="0.25">
      <c r="B13" s="116" t="s">
        <v>1436</v>
      </c>
      <c r="C13" s="116" t="s">
        <v>1437</v>
      </c>
      <c r="D13" s="117">
        <f>'3. Workings'!D71*10000000/'3. Workings'!D13</f>
        <v>2342.2792321117868</v>
      </c>
      <c r="E13" s="117">
        <f>'3. Workings'!E71*10000000/'3. Workings'!E13</f>
        <v>2631.4763907776141</v>
      </c>
      <c r="F13" s="117">
        <f>'3. Workings'!F71*10000000/'3. Workings'!F13</f>
        <v>2744.2758225107782</v>
      </c>
      <c r="G13" s="116" t="s">
        <v>437</v>
      </c>
      <c r="H13" s="116" t="s">
        <v>1438</v>
      </c>
    </row>
    <row r="14" spans="2:8" ht="16.05" customHeight="1" x14ac:dyDescent="0.25">
      <c r="B14" s="62" t="s">
        <v>1439</v>
      </c>
      <c r="C14" s="62" t="s">
        <v>1440</v>
      </c>
      <c r="D14" s="118">
        <f>D7/'3. Workings'!D10</f>
        <v>3.888888888888889E-2</v>
      </c>
      <c r="E14" s="118">
        <f>E7/'3. Workings'!E10</f>
        <v>3.888888888888889E-2</v>
      </c>
      <c r="F14" s="118">
        <f>F7/'3. Workings'!F10</f>
        <v>3.888888888888889E-2</v>
      </c>
      <c r="G14" s="62" t="s">
        <v>403</v>
      </c>
      <c r="H14" s="62" t="s">
        <v>1441</v>
      </c>
    </row>
    <row r="15" spans="2:8" ht="16.05" customHeight="1" x14ac:dyDescent="0.25">
      <c r="B15" s="62" t="s">
        <v>1442</v>
      </c>
      <c r="C15" s="62" t="s">
        <v>1443</v>
      </c>
      <c r="D15" s="118">
        <f>(D9+D11)/'3. Workings'!D10</f>
        <v>1.8366543379971997E-2</v>
      </c>
      <c r="E15" s="118">
        <f>(E9+E11)/'3. Workings'!E10</f>
        <v>1.2099939854064738E-2</v>
      </c>
      <c r="F15" s="118">
        <f>(F9+F11)/'3. Workings'!F10</f>
        <v>9.7532858155499544E-3</v>
      </c>
      <c r="G15" s="62" t="s">
        <v>403</v>
      </c>
      <c r="H15" s="62" t="s">
        <v>1444</v>
      </c>
    </row>
    <row r="16" spans="2:8" ht="16.05" customHeight="1" x14ac:dyDescent="0.25">
      <c r="B16" s="119" t="s">
        <v>1445</v>
      </c>
      <c r="C16" s="119" t="s">
        <v>1446</v>
      </c>
      <c r="D16" s="120">
        <f>'3. Workings'!D23</f>
        <v>2.7100000000000004</v>
      </c>
      <c r="E16" s="120">
        <f>'3. Workings'!E23</f>
        <v>2.7100000000000004</v>
      </c>
      <c r="F16" s="120">
        <f>'3. Workings'!F23</f>
        <v>2.7100000000000004</v>
      </c>
      <c r="G16" s="119" t="s">
        <v>474</v>
      </c>
      <c r="H16" s="119" t="s">
        <v>1447</v>
      </c>
    </row>
    <row r="17" spans="2:8" ht="16.05" customHeight="1" x14ac:dyDescent="0.25">
      <c r="B17" s="121" t="s">
        <v>1448</v>
      </c>
      <c r="C17" s="121" t="s">
        <v>1449</v>
      </c>
      <c r="D17" s="122">
        <f>('3. Workings'!$D$55+'3. Workings'!D61+'3. Workings'!D62+'3. Workings'!D63+'3. Workings'!D64)/((D10-('3. Workings'!D59+'3. Workings'!D60)*10000000/'3. Workings'!D13)*'3. Workings'!D11/10000000)</f>
        <v>0.34021149031996528</v>
      </c>
      <c r="E17" s="122">
        <f>('3. Workings'!$D$55+'3. Workings'!E61+'3. Workings'!E62+'3. Workings'!E63+'3. Workings'!E64)/((E10-('3. Workings'!E59+'3. Workings'!E60)*10000000/'3. Workings'!E13)*'3. Workings'!E11/10000000)</f>
        <v>0.32430954374473087</v>
      </c>
      <c r="F17" s="122">
        <f>('3. Workings'!$D$55+'3. Workings'!F61+'3. Workings'!F62+'3. Workings'!F63+'3. Workings'!F64)/((F10-('3. Workings'!F59+'3. Workings'!F60)*10000000/'3. Workings'!F13)*'3. Workings'!F11/10000000)</f>
        <v>0.30982777331946865</v>
      </c>
      <c r="G17" s="121" t="s">
        <v>403</v>
      </c>
      <c r="H17" s="121" t="s">
        <v>1450</v>
      </c>
    </row>
    <row r="18" spans="2:8" ht="16.05" customHeight="1" x14ac:dyDescent="0.25"/>
    <row r="19" spans="2:8" ht="16.05" customHeight="1" x14ac:dyDescent="0.25">
      <c r="B19" s="185" t="s">
        <v>1451</v>
      </c>
      <c r="C19" s="185"/>
      <c r="D19" s="185"/>
      <c r="E19" s="185"/>
      <c r="F19" s="185"/>
      <c r="G19" s="185"/>
      <c r="H19" s="185"/>
    </row>
    <row r="20" spans="2:8" ht="16.05" customHeight="1" x14ac:dyDescent="0.25">
      <c r="B20" s="60" t="s">
        <v>4</v>
      </c>
      <c r="C20" s="60" t="s">
        <v>157</v>
      </c>
      <c r="D20" s="60" t="s">
        <v>23</v>
      </c>
      <c r="E20" s="60" t="s">
        <v>24</v>
      </c>
      <c r="F20" s="60" t="s">
        <v>25</v>
      </c>
      <c r="G20" s="60" t="s">
        <v>1452</v>
      </c>
      <c r="H20" s="60" t="s">
        <v>1453</v>
      </c>
    </row>
    <row r="21" spans="2:8" ht="16.05" customHeight="1" x14ac:dyDescent="0.25">
      <c r="B21" s="62" t="s">
        <v>1454</v>
      </c>
      <c r="C21" s="62" t="s">
        <v>1455</v>
      </c>
      <c r="D21" s="123">
        <f>-'3. Workings'!$D$55</f>
        <v>-9.8904698000000018</v>
      </c>
      <c r="E21" s="123">
        <f>-'3. Workings'!$D$55</f>
        <v>-9.8904698000000018</v>
      </c>
      <c r="F21" s="123">
        <f>-'3. Workings'!$D$55</f>
        <v>-9.8904698000000018</v>
      </c>
      <c r="G21" s="78">
        <f>1</f>
        <v>1</v>
      </c>
      <c r="H21" s="62" t="s">
        <v>1456</v>
      </c>
    </row>
    <row r="22" spans="2:8" ht="16.05" customHeight="1" x14ac:dyDescent="0.25">
      <c r="B22" s="62" t="s">
        <v>1457</v>
      </c>
      <c r="C22" s="62" t="s">
        <v>1458</v>
      </c>
      <c r="D22" s="123">
        <f>'3. Workings'!D36*'1. Assumptions and Sources'!$D$46-'3. Workings'!D65</f>
        <v>4.4021053182747298</v>
      </c>
      <c r="E22" s="123">
        <f>'3. Workings'!E36*'1. Assumptions and Sources'!$D$46-'3. Workings'!E65</f>
        <v>17.344168731727283</v>
      </c>
      <c r="F22" s="123">
        <f>'3. Workings'!F36*'1. Assumptions and Sources'!$D$46-'3. Workings'!F65</f>
        <v>30.964649181050611</v>
      </c>
      <c r="G22" s="78">
        <f>1/(1+'1. Assumptions and Sources'!$D$15)^1</f>
        <v>0.89285714285714279</v>
      </c>
      <c r="H22" s="62" t="s">
        <v>1459</v>
      </c>
    </row>
    <row r="23" spans="2:8" ht="16.05" customHeight="1" x14ac:dyDescent="0.25">
      <c r="B23" s="62" t="s">
        <v>1460</v>
      </c>
      <c r="C23" s="62" t="s">
        <v>171</v>
      </c>
      <c r="D23" s="123">
        <f>'3. Workings'!D36*'1. Assumptions and Sources'!$D$47*(1+'1. Assumptions and Sources'!$D$12)-'3. Workings'!D65*(1+'1. Assumptions and Sources'!$D$12)</f>
        <v>12.632344685242433</v>
      </c>
      <c r="E23" s="123">
        <f>'3. Workings'!E36*'1. Assumptions and Sources'!$D$47*(1+'1. Assumptions and Sources'!$D$12)-'3. Workings'!E65*(1+'1. Assumptions and Sources'!$D$12)</f>
        <v>42.97254082331434</v>
      </c>
      <c r="F23" s="123">
        <f>'3. Workings'!F36*'1. Assumptions and Sources'!$D$47*(1+'1. Assumptions and Sources'!$D$12)-'3. Workings'!F65*(1+'1. Assumptions and Sources'!$D$12)</f>
        <v>74.820390678168934</v>
      </c>
      <c r="G23" s="78">
        <f>1/(1+'1. Assumptions and Sources'!$D$15)^2</f>
        <v>0.79719387755102034</v>
      </c>
      <c r="H23" s="62" t="s">
        <v>1459</v>
      </c>
    </row>
    <row r="24" spans="2:8" ht="16.05" customHeight="1" x14ac:dyDescent="0.25">
      <c r="B24" s="62" t="s">
        <v>1461</v>
      </c>
      <c r="C24" s="62" t="s">
        <v>174</v>
      </c>
      <c r="D24" s="123">
        <f>'3. Workings'!D36*'1. Assumptions and Sources'!$D$48*(1+'1. Assumptions and Sources'!$D$12)^2-'3. Workings'!D65*(1+'1. Assumptions and Sources'!$D$12)^2</f>
        <v>15.183268033547881</v>
      </c>
      <c r="E24" s="123">
        <f>'3. Workings'!E36*'1. Assumptions and Sources'!$D$48*(1+'1. Assumptions and Sources'!$D$12)^2-'3. Workings'!E65*(1+'1. Assumptions and Sources'!$D$12)^2</f>
        <v>51.173759495498317</v>
      </c>
      <c r="F24" s="123">
        <f>'3. Workings'!F36*'1. Assumptions and Sources'!$D$48*(1+'1. Assumptions and Sources'!$D$12)^2-'3. Workings'!F65*(1+'1. Assumptions and Sources'!$D$12)^2</f>
        <v>88.945576598908318</v>
      </c>
      <c r="G24" s="78">
        <f>1/(1+'1. Assumptions and Sources'!$D$15)^3</f>
        <v>0.71178024781341087</v>
      </c>
      <c r="H24" s="62" t="s">
        <v>1459</v>
      </c>
    </row>
    <row r="25" spans="2:8" ht="16.05" customHeight="1" x14ac:dyDescent="0.25">
      <c r="B25" s="62" t="s">
        <v>1462</v>
      </c>
      <c r="C25" s="62" t="s">
        <v>1463</v>
      </c>
      <c r="D25" s="123">
        <f>'3. Workings'!D36*'1. Assumptions and Sources'!$D$48*(1+'1. Assumptions and Sources'!$D$12)^3-'3. Workings'!D65*(1+'1. Assumptions and Sources'!$D$12)^3</f>
        <v>16.504212352466542</v>
      </c>
      <c r="E25" s="123">
        <f>'3. Workings'!E36*'1. Assumptions and Sources'!$D$48*(1+'1. Assumptions and Sources'!$D$12)^3-'3. Workings'!E65*(1+'1. Assumptions and Sources'!$D$12)^3</f>
        <v>55.625876571606682</v>
      </c>
      <c r="F25" s="123">
        <f>'3. Workings'!F36*'1. Assumptions and Sources'!$D$48*(1+'1. Assumptions and Sources'!$D$12)^3-'3. Workings'!F65*(1+'1. Assumptions and Sources'!$D$12)^3</f>
        <v>96.683841763013334</v>
      </c>
      <c r="G25" s="78">
        <f>1/(1+'1. Assumptions and Sources'!$D$15)^4</f>
        <v>0.63551807840483121</v>
      </c>
      <c r="H25" s="62" t="s">
        <v>1459</v>
      </c>
    </row>
    <row r="26" spans="2:8" ht="16.05" customHeight="1" x14ac:dyDescent="0.25">
      <c r="B26" s="62" t="s">
        <v>1464</v>
      </c>
      <c r="C26" s="62" t="s">
        <v>1465</v>
      </c>
      <c r="D26" s="123">
        <f>'3. Workings'!D36*'1. Assumptions and Sources'!$D$48*(1+'1. Assumptions and Sources'!$D$12)^4-'3. Workings'!D65*(1+'1. Assumptions and Sources'!$D$12)^4</f>
        <v>17.940078827131135</v>
      </c>
      <c r="E26" s="123">
        <f>'3. Workings'!E36*'1. Assumptions and Sources'!$D$48*(1+'1. Assumptions and Sources'!$D$12)^4-'3. Workings'!E65*(1+'1. Assumptions and Sources'!$D$12)^4</f>
        <v>60.465327833336453</v>
      </c>
      <c r="F26" s="123">
        <f>'3. Workings'!F36*'1. Assumptions and Sources'!$D$48*(1+'1. Assumptions and Sources'!$D$12)^4-'3. Workings'!F65*(1+'1. Assumptions and Sources'!$D$12)^4</f>
        <v>105.09533599639549</v>
      </c>
      <c r="G26" s="78">
        <f>1/(1+'1. Assumptions and Sources'!$D$15)^5</f>
        <v>0.56742685571859919</v>
      </c>
      <c r="H26" s="62" t="s">
        <v>1459</v>
      </c>
    </row>
    <row r="27" spans="2:8" ht="16.05" customHeight="1" x14ac:dyDescent="0.25">
      <c r="B27" s="62" t="s">
        <v>1466</v>
      </c>
      <c r="C27" s="62" t="s">
        <v>1467</v>
      </c>
      <c r="D27" s="123">
        <f>SUM(D21:D26)</f>
        <v>56.771539416662719</v>
      </c>
      <c r="E27" s="123">
        <f>SUM(E21:E26)</f>
        <v>217.69120365548309</v>
      </c>
      <c r="F27" s="123">
        <f>SUM(F21:F26)</f>
        <v>386.61932441753669</v>
      </c>
      <c r="H27" s="62" t="s">
        <v>1468</v>
      </c>
    </row>
    <row r="28" spans="2:8" ht="16.05" customHeight="1" x14ac:dyDescent="0.25">
      <c r="B28" s="116" t="s">
        <v>1469</v>
      </c>
      <c r="C28" s="116" t="s">
        <v>1368</v>
      </c>
      <c r="D28" s="124">
        <f>SUMPRODUCT(D21:D26,$G$21:$G$26)</f>
        <v>35.585967342804246</v>
      </c>
      <c r="E28" s="124">
        <f>SUMPRODUCT(E21:E26,$G$21:$G$26)</f>
        <v>145.93821384228556</v>
      </c>
      <c r="F28" s="124">
        <f>SUMPRODUCT(F21:F26,$G$21:$G$26)</f>
        <v>261.79084570060741</v>
      </c>
      <c r="H28" s="116" t="s">
        <v>1470</v>
      </c>
    </row>
    <row r="29" spans="2:8" ht="16.05" customHeight="1" x14ac:dyDescent="0.25">
      <c r="B29" s="121" t="s">
        <v>1471</v>
      </c>
      <c r="C29" s="121" t="s">
        <v>1472</v>
      </c>
      <c r="D29" s="122">
        <f>IRR(D21:D26)</f>
        <v>0.91015199481590736</v>
      </c>
      <c r="E29" s="122">
        <f>IRR(E21:E26)</f>
        <v>2.5513244402778241</v>
      </c>
      <c r="F29" s="122">
        <f>IRR(F21:F26)</f>
        <v>4.065835210879273</v>
      </c>
      <c r="H29" s="121" t="s">
        <v>1473</v>
      </c>
    </row>
    <row r="30" spans="2:8" ht="16.05" customHeight="1" x14ac:dyDescent="0.25"/>
    <row r="31" spans="2:8" ht="16.05" customHeight="1" x14ac:dyDescent="0.25">
      <c r="B31" s="185" t="s">
        <v>1474</v>
      </c>
      <c r="C31" s="185"/>
      <c r="D31" s="185"/>
      <c r="E31" s="185"/>
      <c r="F31" s="185"/>
      <c r="G31" s="185"/>
      <c r="H31" s="185"/>
    </row>
    <row r="32" spans="2:8" ht="16.05" customHeight="1" x14ac:dyDescent="0.25">
      <c r="B32" s="60" t="s">
        <v>4</v>
      </c>
      <c r="C32" s="60" t="s">
        <v>155</v>
      </c>
      <c r="D32" s="60" t="s">
        <v>23</v>
      </c>
      <c r="E32" s="60" t="s">
        <v>24</v>
      </c>
      <c r="F32" s="60" t="s">
        <v>25</v>
      </c>
      <c r="G32" s="60" t="s">
        <v>393</v>
      </c>
      <c r="H32" s="60" t="s">
        <v>1453</v>
      </c>
    </row>
    <row r="33" spans="2:8" ht="16.05" customHeight="1" x14ac:dyDescent="0.25">
      <c r="B33" s="62" t="s">
        <v>1475</v>
      </c>
      <c r="C33" s="62" t="s">
        <v>31</v>
      </c>
      <c r="D33" s="123">
        <f>'3. Workings'!D71</f>
        <v>12.850090035831915</v>
      </c>
      <c r="E33" s="123">
        <f>'3. Workings'!E71</f>
        <v>43.310005167280394</v>
      </c>
      <c r="F33" s="123">
        <f>'3. Workings'!F71</f>
        <v>75.277513711775043</v>
      </c>
      <c r="G33" s="62" t="s">
        <v>398</v>
      </c>
      <c r="H33" s="62" t="s">
        <v>1476</v>
      </c>
    </row>
    <row r="34" spans="2:8" ht="16.05" customHeight="1" x14ac:dyDescent="0.25">
      <c r="B34" s="62" t="s">
        <v>1477</v>
      </c>
      <c r="C34" s="62" t="s">
        <v>1478</v>
      </c>
      <c r="D34" s="123">
        <f>'3. Workings'!D93</f>
        <v>4.1448734193383601</v>
      </c>
      <c r="E34" s="123">
        <f>'3. Workings'!E93</f>
        <v>16.063660258015084</v>
      </c>
      <c r="F34" s="123">
        <f>'3. Workings'!F93</f>
        <v>27.9824470966918</v>
      </c>
      <c r="G34" s="62" t="s">
        <v>398</v>
      </c>
      <c r="H34" s="62" t="s">
        <v>1479</v>
      </c>
    </row>
    <row r="35" spans="2:8" ht="16.05" customHeight="1" x14ac:dyDescent="0.25">
      <c r="B35" s="62" t="s">
        <v>1480</v>
      </c>
      <c r="C35" s="62" t="s">
        <v>1481</v>
      </c>
      <c r="D35" s="123">
        <f>'3. Workings'!$D$55</f>
        <v>9.8904698000000018</v>
      </c>
      <c r="E35" s="123">
        <f>'3. Workings'!$D$55</f>
        <v>9.8904698000000018</v>
      </c>
      <c r="F35" s="123">
        <f>'3. Workings'!$D$55</f>
        <v>9.8904698000000018</v>
      </c>
      <c r="G35" s="62" t="s">
        <v>398</v>
      </c>
      <c r="H35" s="62" t="s">
        <v>1482</v>
      </c>
    </row>
    <row r="36" spans="2:8" ht="16.05" customHeight="1" x14ac:dyDescent="0.25">
      <c r="B36" s="62" t="s">
        <v>1483</v>
      </c>
      <c r="C36" s="62" t="s">
        <v>1484</v>
      </c>
      <c r="D36" s="123">
        <f>'3. Workings'!$D$55*(1+'1. Assumptions and Sources'!$D$119)</f>
        <v>11.374040270000002</v>
      </c>
      <c r="E36" s="123">
        <f>'3. Workings'!$D$55*(1+'1. Assumptions and Sources'!$D$119)</f>
        <v>11.374040270000002</v>
      </c>
      <c r="F36" s="123">
        <f>'3. Workings'!$D$55*(1+'1. Assumptions and Sources'!$D$119)</f>
        <v>11.374040270000002</v>
      </c>
      <c r="G36" s="62" t="s">
        <v>398</v>
      </c>
      <c r="H36" s="62" t="s">
        <v>1485</v>
      </c>
    </row>
    <row r="37" spans="2:8" ht="16.05" customHeight="1" x14ac:dyDescent="0.25">
      <c r="B37" s="62" t="s">
        <v>1486</v>
      </c>
      <c r="C37" s="62" t="s">
        <v>1487</v>
      </c>
      <c r="D37" s="118">
        <f>'1. Assumptions and Sources'!$D$15</f>
        <v>0.12</v>
      </c>
      <c r="E37" s="118">
        <f>'1. Assumptions and Sources'!$D$15</f>
        <v>0.12</v>
      </c>
      <c r="F37" s="118">
        <f>'1. Assumptions and Sources'!$D$15</f>
        <v>0.12</v>
      </c>
      <c r="G37" s="62" t="s">
        <v>403</v>
      </c>
      <c r="H37" s="62" t="s">
        <v>1488</v>
      </c>
    </row>
    <row r="38" spans="2:8" ht="16.05" customHeight="1" x14ac:dyDescent="0.25">
      <c r="B38" s="62" t="s">
        <v>1489</v>
      </c>
      <c r="C38" s="62" t="s">
        <v>1490</v>
      </c>
      <c r="D38" s="118">
        <f>D33/D36</f>
        <v>1.1297735660146306</v>
      </c>
      <c r="E38" s="118">
        <f>E33/E36</f>
        <v>3.8077942524534762</v>
      </c>
      <c r="F38" s="118">
        <f>F33/F36</f>
        <v>6.6183618067825805</v>
      </c>
      <c r="G38" s="62" t="s">
        <v>403</v>
      </c>
      <c r="H38" s="62" t="s">
        <v>1491</v>
      </c>
    </row>
    <row r="39" spans="2:8" ht="16.05" customHeight="1" x14ac:dyDescent="0.25">
      <c r="B39" s="121" t="s">
        <v>1492</v>
      </c>
      <c r="C39" s="121" t="s">
        <v>1493</v>
      </c>
      <c r="D39" s="122">
        <f>D34/D36</f>
        <v>0.36441522281847516</v>
      </c>
      <c r="E39" s="122">
        <f>E34/E36</f>
        <v>1.4123090719473144</v>
      </c>
      <c r="F39" s="122">
        <f>F34/F36</f>
        <v>2.4602029210761529</v>
      </c>
      <c r="G39" s="121" t="s">
        <v>403</v>
      </c>
      <c r="H39" s="121" t="s">
        <v>1494</v>
      </c>
    </row>
    <row r="40" spans="2:8" ht="16.05" customHeight="1" x14ac:dyDescent="0.25">
      <c r="B40" s="62" t="s">
        <v>1495</v>
      </c>
      <c r="C40" s="62" t="s">
        <v>1496</v>
      </c>
      <c r="D40" s="123">
        <f>D33-D37*D36</f>
        <v>11.485205203431915</v>
      </c>
      <c r="E40" s="123">
        <f>E33-E37*E36</f>
        <v>41.945120334880393</v>
      </c>
      <c r="F40" s="123">
        <f>F33-F37*F36</f>
        <v>73.912628879375049</v>
      </c>
      <c r="G40" s="62" t="s">
        <v>398</v>
      </c>
      <c r="H40" s="62" t="s">
        <v>1497</v>
      </c>
    </row>
    <row r="41" spans="2:8" ht="16.05" customHeight="1" x14ac:dyDescent="0.25">
      <c r="B41" s="116" t="s">
        <v>1498</v>
      </c>
      <c r="C41" s="116" t="s">
        <v>1499</v>
      </c>
      <c r="D41" s="124">
        <f>D34-D37*D36</f>
        <v>2.7799885869383596</v>
      </c>
      <c r="E41" s="124">
        <f>E34-E37*E36</f>
        <v>14.698775425615084</v>
      </c>
      <c r="F41" s="124">
        <f>F34-F37*F36</f>
        <v>26.617562264291799</v>
      </c>
      <c r="G41" s="116" t="s">
        <v>398</v>
      </c>
      <c r="H41" s="116" t="s">
        <v>1500</v>
      </c>
    </row>
    <row r="42" spans="2:8" ht="16.05" customHeight="1" x14ac:dyDescent="0.25">
      <c r="B42" s="125" t="s">
        <v>1501</v>
      </c>
      <c r="C42" s="125" t="s">
        <v>1502</v>
      </c>
      <c r="D42" s="125" t="str">
        <f>IF(D39&gt;D37,"PASS","FAIL")</f>
        <v>PASS</v>
      </c>
      <c r="E42" s="125" t="str">
        <f>IF(E39&gt;E37,"PASS","FAIL")</f>
        <v>PASS</v>
      </c>
      <c r="F42" s="125" t="str">
        <f>IF(F39&gt;F37,"PASS","FAIL")</f>
        <v>PASS</v>
      </c>
      <c r="G42" s="125"/>
      <c r="H42" s="125" t="s">
        <v>1503</v>
      </c>
    </row>
    <row r="43" spans="2:8" ht="16.05" customHeight="1" x14ac:dyDescent="0.25">
      <c r="C43" s="126" t="s">
        <v>1504</v>
      </c>
    </row>
    <row r="44" spans="2:8" ht="16.05" customHeight="1" x14ac:dyDescent="0.25"/>
    <row r="45" spans="2:8" ht="16.05" customHeight="1" x14ac:dyDescent="0.25">
      <c r="B45" s="185" t="s">
        <v>1505</v>
      </c>
      <c r="C45" s="185"/>
      <c r="D45" s="185"/>
      <c r="E45" s="185"/>
      <c r="F45" s="185"/>
      <c r="G45" s="185"/>
      <c r="H45" s="185"/>
    </row>
    <row r="46" spans="2:8" ht="16.05" customHeight="1" x14ac:dyDescent="0.25">
      <c r="B46" s="60" t="s">
        <v>1506</v>
      </c>
      <c r="C46" s="60" t="s">
        <v>1507</v>
      </c>
      <c r="D46" s="60" t="s">
        <v>1508</v>
      </c>
      <c r="E46" s="60" t="s">
        <v>1509</v>
      </c>
      <c r="F46" s="60" t="s">
        <v>1510</v>
      </c>
      <c r="G46" s="60" t="s">
        <v>1511</v>
      </c>
    </row>
    <row r="47" spans="2:8" ht="16.05" customHeight="1" x14ac:dyDescent="0.25">
      <c r="B47" s="62" t="s">
        <v>1512</v>
      </c>
      <c r="C47" s="123">
        <v>0</v>
      </c>
      <c r="D47" s="62" t="s">
        <v>1513</v>
      </c>
      <c r="E47" s="62" t="s">
        <v>1514</v>
      </c>
      <c r="F47" s="62" t="s">
        <v>1515</v>
      </c>
      <c r="G47" s="62" t="s">
        <v>1516</v>
      </c>
    </row>
    <row r="48" spans="2:8" ht="16.05" customHeight="1" x14ac:dyDescent="0.25">
      <c r="B48" s="62" t="s">
        <v>1517</v>
      </c>
      <c r="C48" s="123" t="s">
        <v>1518</v>
      </c>
      <c r="D48" s="62" t="s">
        <v>1519</v>
      </c>
      <c r="E48" s="62" t="s">
        <v>1520</v>
      </c>
      <c r="F48" s="62" t="s">
        <v>1515</v>
      </c>
      <c r="G48" s="62" t="s">
        <v>1521</v>
      </c>
    </row>
    <row r="49" spans="2:8" ht="16.05" customHeight="1" x14ac:dyDescent="0.25">
      <c r="B49" s="62" t="s">
        <v>1522</v>
      </c>
      <c r="C49" s="123" t="s">
        <v>1518</v>
      </c>
      <c r="D49" s="62" t="s">
        <v>1523</v>
      </c>
      <c r="E49" s="62" t="s">
        <v>1515</v>
      </c>
      <c r="F49" s="62" t="s">
        <v>1515</v>
      </c>
      <c r="G49" s="62" t="s">
        <v>1524</v>
      </c>
    </row>
    <row r="50" spans="2:8" ht="16.05" customHeight="1" x14ac:dyDescent="0.25">
      <c r="B50" s="62" t="s">
        <v>1525</v>
      </c>
      <c r="C50" s="123">
        <f>'3. Workings'!$D$55+'4. Forecast'!$H$11</f>
        <v>18.094192880363956</v>
      </c>
      <c r="D50" s="62" t="s">
        <v>1526</v>
      </c>
      <c r="E50" s="62" t="s">
        <v>1527</v>
      </c>
      <c r="F50" s="62" t="s">
        <v>1514</v>
      </c>
      <c r="G50" s="62" t="s">
        <v>1528</v>
      </c>
    </row>
    <row r="51" spans="2:8" ht="16.05" customHeight="1" x14ac:dyDescent="0.25">
      <c r="B51" s="125" t="s">
        <v>1529</v>
      </c>
      <c r="C51" s="127">
        <f>'3. Workings'!$D$55+'4. Forecast'!$H$24</f>
        <v>22.639871397331859</v>
      </c>
      <c r="D51" s="125" t="s">
        <v>1526</v>
      </c>
      <c r="E51" s="125" t="s">
        <v>1527</v>
      </c>
      <c r="F51" s="125" t="s">
        <v>1514</v>
      </c>
      <c r="G51" s="125" t="s">
        <v>1528</v>
      </c>
    </row>
    <row r="52" spans="2:8" ht="16.05" customHeight="1" x14ac:dyDescent="0.25">
      <c r="B52" s="62" t="s">
        <v>1530</v>
      </c>
      <c r="C52" s="123">
        <f>'3. Workings'!$D$55+'4. Forecast'!$H$37</f>
        <v>27.185549914299767</v>
      </c>
      <c r="D52" s="62" t="s">
        <v>1526</v>
      </c>
      <c r="E52" s="62" t="s">
        <v>1527</v>
      </c>
      <c r="F52" s="62" t="s">
        <v>1514</v>
      </c>
      <c r="G52" s="62" t="s">
        <v>1528</v>
      </c>
    </row>
    <row r="53" spans="2:8" ht="16.05" customHeight="1" x14ac:dyDescent="0.25">
      <c r="B53" s="62" t="s">
        <v>1531</v>
      </c>
      <c r="C53" s="123">
        <v>0</v>
      </c>
      <c r="D53" s="62" t="s">
        <v>1532</v>
      </c>
      <c r="E53" s="62" t="s">
        <v>1533</v>
      </c>
      <c r="F53" s="62" t="s">
        <v>1533</v>
      </c>
      <c r="G53" s="62" t="s">
        <v>1534</v>
      </c>
    </row>
    <row r="54" spans="2:8" ht="16.05" customHeight="1" x14ac:dyDescent="0.25">
      <c r="B54" s="62" t="s">
        <v>1535</v>
      </c>
      <c r="C54" s="123">
        <f>'13. GenAI Build vs Buy'!$D$38</f>
        <v>0.2395689149419363</v>
      </c>
      <c r="D54" s="62" t="s">
        <v>1513</v>
      </c>
      <c r="E54" s="62" t="s">
        <v>1527</v>
      </c>
      <c r="F54" s="62" t="s">
        <v>1514</v>
      </c>
      <c r="G54" s="62" t="s">
        <v>1536</v>
      </c>
    </row>
    <row r="55" spans="2:8" ht="16.05" customHeight="1" x14ac:dyDescent="0.25">
      <c r="B55" s="185" t="s">
        <v>1537</v>
      </c>
      <c r="C55" s="185"/>
      <c r="D55" s="185"/>
      <c r="E55" s="185"/>
      <c r="F55" s="185"/>
      <c r="G55" s="185"/>
      <c r="H55" s="185"/>
    </row>
    <row r="56" spans="2:8" ht="16.05" customHeight="1" x14ac:dyDescent="0.25">
      <c r="B56" s="60" t="s">
        <v>4</v>
      </c>
      <c r="C56" s="60" t="s">
        <v>155</v>
      </c>
      <c r="D56" s="60" t="s">
        <v>6</v>
      </c>
      <c r="E56" s="60" t="s">
        <v>393</v>
      </c>
      <c r="F56" s="60" t="s">
        <v>1538</v>
      </c>
    </row>
    <row r="57" spans="2:8" ht="16.05" customHeight="1" x14ac:dyDescent="0.25">
      <c r="B57" s="62" t="s">
        <v>1539</v>
      </c>
      <c r="C57" s="62" t="s">
        <v>1540</v>
      </c>
      <c r="D57" s="78">
        <f>'1. Assumptions and Sources'!$D$118</f>
        <v>3.2000000000000001E-2</v>
      </c>
      <c r="E57" s="62" t="s">
        <v>494</v>
      </c>
      <c r="F57" s="62" t="s">
        <v>1541</v>
      </c>
    </row>
    <row r="58" spans="2:8" ht="16.05" customHeight="1" x14ac:dyDescent="0.25">
      <c r="B58" s="62" t="s">
        <v>1542</v>
      </c>
      <c r="C58" s="62" t="s">
        <v>1543</v>
      </c>
      <c r="D58" s="123">
        <f>'3. Workings'!$E$78*'1. Assumptions and Sources'!$D$118</f>
        <v>52.949415680000008</v>
      </c>
      <c r="E58" s="62" t="s">
        <v>398</v>
      </c>
      <c r="F58" s="62" t="s">
        <v>1544</v>
      </c>
    </row>
    <row r="59" spans="2:8" ht="16.05" customHeight="1" x14ac:dyDescent="0.25">
      <c r="B59" s="128" t="s">
        <v>1545</v>
      </c>
      <c r="C59" s="128" t="s">
        <v>1546</v>
      </c>
      <c r="D59" s="129">
        <f>'3. Workings'!$E$72</f>
        <v>3.609167097273366</v>
      </c>
      <c r="E59" s="128" t="s">
        <v>398</v>
      </c>
      <c r="F59" s="128" t="s">
        <v>1547</v>
      </c>
    </row>
    <row r="60" spans="2:8" ht="16.05" customHeight="1" x14ac:dyDescent="0.25">
      <c r="B60" s="62" t="s">
        <v>1548</v>
      </c>
      <c r="C60" s="62" t="s">
        <v>1549</v>
      </c>
      <c r="D60" s="123">
        <f>'3. Workings'!$E$72*6</f>
        <v>21.655002583640197</v>
      </c>
      <c r="E60" s="62" t="s">
        <v>398</v>
      </c>
      <c r="F60" s="62" t="s">
        <v>1550</v>
      </c>
    </row>
  </sheetData>
  <mergeCells count="7">
    <mergeCell ref="B45:H45"/>
    <mergeCell ref="B55:H55"/>
    <mergeCell ref="B2:H2"/>
    <mergeCell ref="B3:H3"/>
    <mergeCell ref="B5:H5"/>
    <mergeCell ref="B19:H19"/>
    <mergeCell ref="B31:H3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E75B6"/>
    <pageSetUpPr fitToPage="1"/>
  </sheetPr>
  <dimension ref="B2:H51"/>
  <sheetViews>
    <sheetView showGridLines="0" zoomScale="90" zoomScaleNormal="90" workbookViewId="0"/>
  </sheetViews>
  <sheetFormatPr defaultColWidth="8.6640625" defaultRowHeight="13.8" x14ac:dyDescent="0.25"/>
  <cols>
    <col min="1" max="1" width="8.6640625" style="1"/>
    <col min="2" max="2" width="9" style="1" customWidth="1"/>
    <col min="3" max="3" width="26" style="1" customWidth="1"/>
    <col min="4" max="4" width="44" style="1" customWidth="1"/>
    <col min="5" max="5" width="60" style="1" customWidth="1"/>
    <col min="6" max="6" width="40" style="1" customWidth="1"/>
    <col min="7" max="7" width="34" style="1" customWidth="1"/>
    <col min="8" max="16384" width="8.6640625" style="1"/>
  </cols>
  <sheetData>
    <row r="2" spans="2:8" ht="16.05" customHeight="1" x14ac:dyDescent="0.25">
      <c r="B2" s="183" t="s">
        <v>1551</v>
      </c>
      <c r="C2" s="183"/>
      <c r="D2" s="183"/>
      <c r="E2" s="183"/>
      <c r="F2" s="183"/>
      <c r="G2" s="183"/>
      <c r="H2" s="183"/>
    </row>
    <row r="3" spans="2:8" ht="16.05" customHeight="1" x14ac:dyDescent="0.25">
      <c r="B3" s="184" t="s">
        <v>1552</v>
      </c>
      <c r="C3" s="184"/>
      <c r="D3" s="184"/>
      <c r="E3" s="184"/>
      <c r="F3" s="184"/>
      <c r="G3" s="184"/>
      <c r="H3" s="184"/>
    </row>
    <row r="4" spans="2:8" ht="16.05" customHeight="1" x14ac:dyDescent="0.25"/>
    <row r="5" spans="2:8" ht="16.05" customHeight="1" x14ac:dyDescent="0.25">
      <c r="B5" s="185" t="s">
        <v>1553</v>
      </c>
      <c r="C5" s="185"/>
      <c r="D5" s="185"/>
      <c r="E5" s="185"/>
      <c r="F5" s="185"/>
      <c r="G5" s="185"/>
      <c r="H5" s="185"/>
    </row>
    <row r="6" spans="2:8" ht="16.05" customHeight="1" x14ac:dyDescent="0.25">
      <c r="B6" s="60" t="s">
        <v>4</v>
      </c>
      <c r="C6" s="60" t="s">
        <v>242</v>
      </c>
      <c r="D6" s="60" t="s">
        <v>1554</v>
      </c>
      <c r="E6" s="60" t="s">
        <v>1555</v>
      </c>
      <c r="F6" s="60" t="s">
        <v>1556</v>
      </c>
      <c r="G6" s="60" t="s">
        <v>1557</v>
      </c>
    </row>
    <row r="7" spans="2:8" ht="16.05" customHeight="1" x14ac:dyDescent="0.25">
      <c r="B7" s="62" t="s">
        <v>1558</v>
      </c>
      <c r="C7" s="62" t="s">
        <v>1559</v>
      </c>
      <c r="D7" s="62" t="s">
        <v>1560</v>
      </c>
      <c r="E7" s="62" t="s">
        <v>1561</v>
      </c>
      <c r="F7" s="62" t="s">
        <v>1562</v>
      </c>
      <c r="G7" s="62" t="s">
        <v>1563</v>
      </c>
    </row>
    <row r="8" spans="2:8" ht="16.05" customHeight="1" x14ac:dyDescent="0.25">
      <c r="B8" s="62" t="s">
        <v>1564</v>
      </c>
      <c r="C8" s="62" t="s">
        <v>1565</v>
      </c>
      <c r="D8" s="62" t="s">
        <v>1566</v>
      </c>
      <c r="E8" s="62" t="s">
        <v>1567</v>
      </c>
      <c r="F8" s="62" t="s">
        <v>1568</v>
      </c>
      <c r="G8" s="62" t="s">
        <v>1569</v>
      </c>
    </row>
    <row r="9" spans="2:8" ht="16.05" customHeight="1" x14ac:dyDescent="0.25">
      <c r="B9" s="62" t="s">
        <v>1570</v>
      </c>
      <c r="C9" s="62" t="s">
        <v>1571</v>
      </c>
      <c r="D9" s="62" t="s">
        <v>1572</v>
      </c>
      <c r="E9" s="62" t="s">
        <v>1573</v>
      </c>
      <c r="F9" s="62" t="s">
        <v>1574</v>
      </c>
      <c r="G9" s="62" t="s">
        <v>1575</v>
      </c>
    </row>
    <row r="10" spans="2:8" ht="16.05" customHeight="1" x14ac:dyDescent="0.25">
      <c r="B10" s="62" t="s">
        <v>1576</v>
      </c>
      <c r="C10" s="62" t="s">
        <v>254</v>
      </c>
      <c r="D10" s="62" t="s">
        <v>1577</v>
      </c>
      <c r="E10" s="62" t="s">
        <v>1578</v>
      </c>
      <c r="F10" s="62" t="s">
        <v>1579</v>
      </c>
      <c r="G10" s="62" t="s">
        <v>1580</v>
      </c>
    </row>
    <row r="11" spans="2:8" ht="16.05" customHeight="1" x14ac:dyDescent="0.25">
      <c r="B11" s="62" t="s">
        <v>1581</v>
      </c>
      <c r="C11" s="62" t="s">
        <v>1582</v>
      </c>
      <c r="D11" s="62" t="s">
        <v>1583</v>
      </c>
      <c r="E11" s="62" t="s">
        <v>1584</v>
      </c>
      <c r="F11" s="62" t="s">
        <v>1585</v>
      </c>
      <c r="G11" s="62" t="s">
        <v>1586</v>
      </c>
    </row>
    <row r="12" spans="2:8" ht="16.05" customHeight="1" x14ac:dyDescent="0.25">
      <c r="B12" s="62" t="s">
        <v>1587</v>
      </c>
      <c r="C12" s="62" t="s">
        <v>260</v>
      </c>
      <c r="D12" s="62" t="s">
        <v>1588</v>
      </c>
      <c r="E12" s="62" t="s">
        <v>1589</v>
      </c>
      <c r="F12" s="62" t="s">
        <v>1590</v>
      </c>
      <c r="G12" s="62" t="s">
        <v>1591</v>
      </c>
    </row>
    <row r="13" spans="2:8" ht="16.05" customHeight="1" x14ac:dyDescent="0.25">
      <c r="B13" s="62" t="s">
        <v>1592</v>
      </c>
      <c r="C13" s="62" t="s">
        <v>1593</v>
      </c>
      <c r="D13" s="62" t="s">
        <v>1594</v>
      </c>
      <c r="E13" s="62" t="s">
        <v>1595</v>
      </c>
      <c r="F13" s="62" t="s">
        <v>1596</v>
      </c>
      <c r="G13" s="62" t="s">
        <v>1597</v>
      </c>
    </row>
    <row r="14" spans="2:8" ht="16.05" customHeight="1" x14ac:dyDescent="0.25">
      <c r="B14" s="62" t="s">
        <v>1598</v>
      </c>
      <c r="C14" s="62" t="s">
        <v>1599</v>
      </c>
      <c r="D14" s="62" t="s">
        <v>1600</v>
      </c>
      <c r="E14" s="62" t="s">
        <v>1601</v>
      </c>
      <c r="F14" s="62" t="s">
        <v>1602</v>
      </c>
      <c r="G14" s="62" t="s">
        <v>1603</v>
      </c>
    </row>
    <row r="15" spans="2:8" ht="16.05" customHeight="1" x14ac:dyDescent="0.25">
      <c r="B15" s="62" t="s">
        <v>1604</v>
      </c>
      <c r="C15" s="62" t="s">
        <v>1605</v>
      </c>
      <c r="D15" s="62" t="s">
        <v>1606</v>
      </c>
      <c r="E15" s="62" t="s">
        <v>1607</v>
      </c>
      <c r="F15" s="62" t="s">
        <v>1608</v>
      </c>
      <c r="G15" s="62" t="s">
        <v>1609</v>
      </c>
    </row>
    <row r="16" spans="2:8" ht="16.05" customHeight="1" x14ac:dyDescent="0.25"/>
    <row r="17" spans="2:8" ht="16.05" customHeight="1" x14ac:dyDescent="0.25">
      <c r="B17" s="185" t="s">
        <v>1610</v>
      </c>
      <c r="C17" s="185"/>
      <c r="D17" s="185"/>
      <c r="E17" s="185"/>
      <c r="F17" s="185"/>
      <c r="G17" s="185"/>
      <c r="H17" s="185"/>
    </row>
    <row r="18" spans="2:8" ht="16.05" customHeight="1" x14ac:dyDescent="0.25">
      <c r="B18" s="60" t="s">
        <v>4</v>
      </c>
      <c r="C18" s="60" t="s">
        <v>1611</v>
      </c>
      <c r="D18" s="60" t="s">
        <v>1612</v>
      </c>
      <c r="E18" s="60" t="s">
        <v>1613</v>
      </c>
      <c r="F18" s="60" t="s">
        <v>1614</v>
      </c>
    </row>
    <row r="19" spans="2:8" ht="16.05" customHeight="1" x14ac:dyDescent="0.25">
      <c r="B19" s="62" t="s">
        <v>1615</v>
      </c>
      <c r="C19" s="62" t="s">
        <v>106</v>
      </c>
      <c r="D19" s="62" t="s">
        <v>1616</v>
      </c>
      <c r="E19" s="62" t="s">
        <v>1617</v>
      </c>
      <c r="F19" s="62" t="s">
        <v>1618</v>
      </c>
    </row>
    <row r="20" spans="2:8" ht="16.05" customHeight="1" x14ac:dyDescent="0.25">
      <c r="B20" s="62" t="s">
        <v>1619</v>
      </c>
      <c r="C20" s="62" t="s">
        <v>1620</v>
      </c>
      <c r="D20" s="62" t="s">
        <v>1621</v>
      </c>
      <c r="E20" s="62" t="s">
        <v>1622</v>
      </c>
      <c r="F20" s="62" t="s">
        <v>1623</v>
      </c>
    </row>
    <row r="21" spans="2:8" ht="16.05" customHeight="1" x14ac:dyDescent="0.25">
      <c r="B21" s="62" t="s">
        <v>1624</v>
      </c>
      <c r="C21" s="62" t="s">
        <v>1620</v>
      </c>
      <c r="D21" s="62" t="s">
        <v>1625</v>
      </c>
      <c r="E21" s="62" t="s">
        <v>1626</v>
      </c>
      <c r="F21" s="62" t="s">
        <v>1627</v>
      </c>
    </row>
    <row r="22" spans="2:8" ht="16.05" customHeight="1" x14ac:dyDescent="0.25">
      <c r="B22" s="62" t="s">
        <v>1628</v>
      </c>
      <c r="C22" s="62" t="s">
        <v>1629</v>
      </c>
      <c r="D22" s="62" t="s">
        <v>1630</v>
      </c>
      <c r="E22" s="62" t="s">
        <v>1631</v>
      </c>
      <c r="F22" s="62" t="s">
        <v>1632</v>
      </c>
    </row>
    <row r="23" spans="2:8" ht="16.05" customHeight="1" x14ac:dyDescent="0.25">
      <c r="B23" s="62" t="s">
        <v>1633</v>
      </c>
      <c r="C23" s="62" t="s">
        <v>1634</v>
      </c>
      <c r="D23" s="62" t="s">
        <v>1635</v>
      </c>
      <c r="E23" s="62" t="s">
        <v>1636</v>
      </c>
      <c r="F23" s="62" t="s">
        <v>1637</v>
      </c>
    </row>
    <row r="24" spans="2:8" ht="16.05" customHeight="1" x14ac:dyDescent="0.25">
      <c r="B24" s="62" t="s">
        <v>1638</v>
      </c>
      <c r="C24" s="62" t="s">
        <v>1639</v>
      </c>
      <c r="D24" s="62" t="s">
        <v>1640</v>
      </c>
      <c r="E24" s="62" t="s">
        <v>1641</v>
      </c>
      <c r="F24" s="62" t="s">
        <v>1642</v>
      </c>
    </row>
    <row r="25" spans="2:8" ht="16.05" customHeight="1" x14ac:dyDescent="0.25">
      <c r="B25" s="62" t="s">
        <v>1643</v>
      </c>
      <c r="C25" s="62" t="s">
        <v>1644</v>
      </c>
      <c r="D25" s="62" t="s">
        <v>1645</v>
      </c>
      <c r="E25" s="62" t="s">
        <v>1646</v>
      </c>
      <c r="F25" s="62" t="s">
        <v>1647</v>
      </c>
    </row>
    <row r="26" spans="2:8" ht="16.05" customHeight="1" x14ac:dyDescent="0.25">
      <c r="B26" s="62" t="s">
        <v>1648</v>
      </c>
      <c r="C26" s="62" t="s">
        <v>1649</v>
      </c>
      <c r="D26" s="62" t="s">
        <v>1650</v>
      </c>
      <c r="E26" s="62" t="s">
        <v>1651</v>
      </c>
      <c r="F26" s="62" t="s">
        <v>1609</v>
      </c>
    </row>
    <row r="27" spans="2:8" ht="16.05" customHeight="1" x14ac:dyDescent="0.25">
      <c r="B27" s="62" t="s">
        <v>1652</v>
      </c>
      <c r="C27" s="62" t="s">
        <v>1653</v>
      </c>
      <c r="D27" s="62" t="s">
        <v>1654</v>
      </c>
      <c r="E27" s="62" t="s">
        <v>1655</v>
      </c>
      <c r="F27" s="62" t="s">
        <v>1656</v>
      </c>
    </row>
    <row r="28" spans="2:8" ht="16.05" customHeight="1" x14ac:dyDescent="0.25">
      <c r="B28" s="62" t="s">
        <v>1657</v>
      </c>
      <c r="C28" s="62" t="s">
        <v>1658</v>
      </c>
      <c r="D28" s="62" t="s">
        <v>1659</v>
      </c>
      <c r="E28" s="62" t="s">
        <v>1660</v>
      </c>
      <c r="F28" s="62" t="s">
        <v>1661</v>
      </c>
    </row>
    <row r="29" spans="2:8" ht="16.05" customHeight="1" x14ac:dyDescent="0.25"/>
    <row r="30" spans="2:8" ht="16.05" customHeight="1" x14ac:dyDescent="0.25">
      <c r="B30" s="185" t="s">
        <v>1662</v>
      </c>
      <c r="C30" s="185"/>
      <c r="D30" s="185"/>
      <c r="E30" s="185"/>
      <c r="F30" s="185"/>
      <c r="G30" s="185"/>
      <c r="H30" s="185"/>
    </row>
    <row r="31" spans="2:8" ht="16.05" customHeight="1" x14ac:dyDescent="0.25">
      <c r="B31" s="60" t="s">
        <v>4</v>
      </c>
      <c r="C31" s="60" t="s">
        <v>242</v>
      </c>
      <c r="D31" s="60" t="s">
        <v>1663</v>
      </c>
      <c r="E31" s="60" t="s">
        <v>23</v>
      </c>
      <c r="F31" s="60" t="s">
        <v>24</v>
      </c>
      <c r="G31" s="60" t="s">
        <v>25</v>
      </c>
      <c r="H31" s="60" t="s">
        <v>393</v>
      </c>
    </row>
    <row r="32" spans="2:8" ht="16.05" customHeight="1" x14ac:dyDescent="0.25">
      <c r="B32" s="62" t="s">
        <v>1664</v>
      </c>
      <c r="C32" s="62" t="s">
        <v>1665</v>
      </c>
      <c r="D32" s="62" t="s">
        <v>188</v>
      </c>
      <c r="E32" s="67">
        <f>'3. Workings'!D107</f>
        <v>388967.87840238231</v>
      </c>
      <c r="F32" s="67">
        <f>'3. Workings'!E107</f>
        <v>1166903.6352071466</v>
      </c>
      <c r="G32" s="67">
        <f>'3. Workings'!F107</f>
        <v>1944839.3920119114</v>
      </c>
      <c r="H32" s="62" t="s">
        <v>474</v>
      </c>
    </row>
    <row r="33" spans="2:8" ht="16.05" customHeight="1" x14ac:dyDescent="0.25">
      <c r="B33" s="62" t="s">
        <v>1666</v>
      </c>
      <c r="C33" s="62" t="s">
        <v>1665</v>
      </c>
      <c r="D33" s="62" t="s">
        <v>1201</v>
      </c>
      <c r="E33" s="67">
        <f>'3. Workings'!D108</f>
        <v>35659.960643377788</v>
      </c>
      <c r="F33" s="67">
        <f>'3. Workings'!E108</f>
        <v>106979.88193013334</v>
      </c>
      <c r="G33" s="67">
        <f>'3. Workings'!F108</f>
        <v>178299.80321688892</v>
      </c>
      <c r="H33" s="62" t="s">
        <v>931</v>
      </c>
    </row>
    <row r="34" spans="2:8" ht="16.05" customHeight="1" x14ac:dyDescent="0.25">
      <c r="B34" s="62" t="s">
        <v>1667</v>
      </c>
      <c r="C34" s="62" t="s">
        <v>1665</v>
      </c>
      <c r="D34" s="62" t="s">
        <v>1668</v>
      </c>
      <c r="E34" s="83">
        <f>'3. Workings'!D24</f>
        <v>8.3820000000000014</v>
      </c>
      <c r="F34" s="83">
        <f>'3. Workings'!E24</f>
        <v>5.5460000000000003</v>
      </c>
      <c r="G34" s="83">
        <f>'3. Workings'!F24</f>
        <v>2.7100000000000004</v>
      </c>
      <c r="H34" s="62" t="s">
        <v>474</v>
      </c>
    </row>
    <row r="35" spans="2:8" ht="16.05" customHeight="1" x14ac:dyDescent="0.25">
      <c r="B35" s="62" t="s">
        <v>1669</v>
      </c>
      <c r="C35" s="62" t="s">
        <v>1665</v>
      </c>
      <c r="D35" s="62" t="s">
        <v>1206</v>
      </c>
      <c r="E35" s="84">
        <f>'3. Workings'!D110</f>
        <v>0.8</v>
      </c>
      <c r="F35" s="84">
        <f>'3. Workings'!E110</f>
        <v>0.4</v>
      </c>
      <c r="G35" s="84">
        <f>'3. Workings'!F110</f>
        <v>0</v>
      </c>
      <c r="H35" s="62" t="s">
        <v>403</v>
      </c>
    </row>
    <row r="36" spans="2:8" ht="16.05" customHeight="1" x14ac:dyDescent="0.25">
      <c r="B36" s="62" t="s">
        <v>1670</v>
      </c>
      <c r="C36" s="62" t="s">
        <v>1671</v>
      </c>
      <c r="D36" s="62" t="s">
        <v>209</v>
      </c>
      <c r="E36" s="67">
        <f>'3. Workings'!D111</f>
        <v>316550.72755736893</v>
      </c>
      <c r="F36" s="67">
        <f>'3. Workings'!E111</f>
        <v>949652.18267210666</v>
      </c>
      <c r="G36" s="67">
        <f>'3. Workings'!F111</f>
        <v>1582753.6377868445</v>
      </c>
      <c r="H36" s="62" t="s">
        <v>452</v>
      </c>
    </row>
    <row r="37" spans="2:8" ht="16.05" customHeight="1" x14ac:dyDescent="0.25">
      <c r="B37" s="62" t="s">
        <v>1672</v>
      </c>
      <c r="C37" s="62" t="s">
        <v>1671</v>
      </c>
      <c r="D37" s="62" t="s">
        <v>1673</v>
      </c>
      <c r="E37" s="83">
        <f>'3. Workings'!D113</f>
        <v>58.620505103216473</v>
      </c>
      <c r="F37" s="83">
        <f>'3. Workings'!E113</f>
        <v>175.86151530964938</v>
      </c>
      <c r="G37" s="83">
        <f>'3. Workings'!F113</f>
        <v>293.10252551608232</v>
      </c>
      <c r="H37" s="62" t="s">
        <v>1215</v>
      </c>
    </row>
    <row r="38" spans="2:8" ht="16.05" customHeight="1" x14ac:dyDescent="0.25">
      <c r="B38" s="62" t="s">
        <v>1674</v>
      </c>
      <c r="C38" s="62" t="s">
        <v>1671</v>
      </c>
      <c r="D38" s="62" t="s">
        <v>1675</v>
      </c>
      <c r="E38" s="88">
        <f>'3. Workings'!D101</f>
        <v>7.3393685151862771</v>
      </c>
      <c r="F38" s="88">
        <f>'3. Workings'!E101</f>
        <v>23.148800605343467</v>
      </c>
      <c r="G38" s="88">
        <f>'3. Workings'!F101</f>
        <v>40.46582610854685</v>
      </c>
      <c r="H38" s="62" t="s">
        <v>398</v>
      </c>
    </row>
    <row r="39" spans="2:8" ht="16.05" customHeight="1" x14ac:dyDescent="0.25">
      <c r="B39" s="62" t="s">
        <v>1676</v>
      </c>
      <c r="C39" s="62" t="s">
        <v>1677</v>
      </c>
      <c r="D39" s="62" t="s">
        <v>1678</v>
      </c>
      <c r="E39" s="88">
        <f>'3. Workings'!D102</f>
        <v>7.8285885258589509</v>
      </c>
      <c r="F39" s="88">
        <f>'3. Workings'!E102</f>
        <v>23.485765577576849</v>
      </c>
      <c r="G39" s="88">
        <f>'3. Workings'!F102</f>
        <v>39.142942629294744</v>
      </c>
      <c r="H39" s="62" t="s">
        <v>398</v>
      </c>
    </row>
    <row r="40" spans="2:8" ht="16.05" customHeight="1" x14ac:dyDescent="0.25">
      <c r="B40" s="62" t="s">
        <v>1679</v>
      </c>
      <c r="C40" s="62" t="s">
        <v>1677</v>
      </c>
      <c r="D40" s="62" t="s">
        <v>1680</v>
      </c>
      <c r="E40" s="83">
        <f>'3. Workings'!D82</f>
        <v>0.76499124762461923</v>
      </c>
      <c r="F40" s="83">
        <f>'3. Workings'!E82</f>
        <v>2.5826285166934659</v>
      </c>
      <c r="G40" s="83">
        <f>'3. Workings'!F82</f>
        <v>4.491377252428979</v>
      </c>
      <c r="H40" s="62" t="s">
        <v>494</v>
      </c>
    </row>
    <row r="41" spans="2:8" ht="16.05" customHeight="1" x14ac:dyDescent="0.25">
      <c r="B41" s="62" t="s">
        <v>1681</v>
      </c>
      <c r="C41" s="62" t="s">
        <v>1682</v>
      </c>
      <c r="D41" s="62" t="s">
        <v>1683</v>
      </c>
      <c r="E41" s="88">
        <f>'3. Workings'!D103</f>
        <v>0.19201517269511115</v>
      </c>
      <c r="F41" s="88">
        <f>'3. Workings'!E103</f>
        <v>0.57604551808533344</v>
      </c>
      <c r="G41" s="88">
        <f>'3. Workings'!F103</f>
        <v>0.96007586347555574</v>
      </c>
      <c r="H41" s="62" t="s">
        <v>398</v>
      </c>
    </row>
    <row r="42" spans="2:8" ht="16.05" customHeight="1" x14ac:dyDescent="0.25">
      <c r="B42" s="62" t="s">
        <v>1684</v>
      </c>
      <c r="C42" s="62" t="s">
        <v>1685</v>
      </c>
      <c r="D42" s="62" t="s">
        <v>250</v>
      </c>
      <c r="E42" s="88">
        <f>'3. Workings'!D129</f>
        <v>12.850090035831915</v>
      </c>
      <c r="F42" s="88">
        <f>'3. Workings'!E129</f>
        <v>43.31000516728038</v>
      </c>
      <c r="G42" s="88">
        <f>'3. Workings'!F129</f>
        <v>75.277513711775029</v>
      </c>
      <c r="H42" s="62" t="s">
        <v>398</v>
      </c>
    </row>
    <row r="43" spans="2:8" ht="16.05" customHeight="1" x14ac:dyDescent="0.25">
      <c r="B43" s="62" t="s">
        <v>1686</v>
      </c>
      <c r="C43" s="62" t="s">
        <v>1685</v>
      </c>
      <c r="D43" s="62" t="s">
        <v>1687</v>
      </c>
      <c r="E43" s="84">
        <f>'3. Workings'!D132</f>
        <v>2.4711711607369069E-2</v>
      </c>
      <c r="F43" s="84">
        <f>'3. Workings'!E132</f>
        <v>8.3288471475539222E-2</v>
      </c>
      <c r="G43" s="84">
        <f>'3. Workings'!F132</f>
        <v>0.14476444944572123</v>
      </c>
      <c r="H43" s="62" t="s">
        <v>403</v>
      </c>
    </row>
    <row r="44" spans="2:8" ht="16.05" customHeight="1" x14ac:dyDescent="0.25">
      <c r="B44" s="62" t="s">
        <v>1688</v>
      </c>
      <c r="C44" s="62" t="s">
        <v>1689</v>
      </c>
      <c r="D44" s="62" t="s">
        <v>1690</v>
      </c>
      <c r="E44" s="67">
        <f>'3. Workings'!D117</f>
        <v>24687.665060800005</v>
      </c>
      <c r="F44" s="67">
        <f>'3. Workings'!E117</f>
        <v>74062.995182400002</v>
      </c>
      <c r="G44" s="67">
        <f>'3. Workings'!F117</f>
        <v>123438.32530400004</v>
      </c>
      <c r="H44" s="62" t="s">
        <v>737</v>
      </c>
    </row>
    <row r="45" spans="2:8" ht="16.05" customHeight="1" x14ac:dyDescent="0.25">
      <c r="B45" s="62" t="s">
        <v>1691</v>
      </c>
      <c r="C45" s="62" t="s">
        <v>1692</v>
      </c>
      <c r="D45" s="62" t="s">
        <v>1693</v>
      </c>
      <c r="E45" s="83">
        <f>'3. Workings'!D118</f>
        <v>3</v>
      </c>
      <c r="F45" s="83">
        <f>'3. Workings'!E118</f>
        <v>3</v>
      </c>
      <c r="G45" s="83">
        <f>'3. Workings'!F118</f>
        <v>3</v>
      </c>
      <c r="H45" s="62" t="s">
        <v>474</v>
      </c>
    </row>
    <row r="46" spans="2:8" ht="16.05" customHeight="1" x14ac:dyDescent="0.25">
      <c r="B46" s="62" t="s">
        <v>1694</v>
      </c>
      <c r="C46" s="62" t="s">
        <v>1695</v>
      </c>
      <c r="D46" s="62" t="s">
        <v>1696</v>
      </c>
      <c r="E46" s="88">
        <f>'3. Workings'!D119</f>
        <v>1.0013452</v>
      </c>
      <c r="F46" s="88">
        <f>'3. Workings'!E119</f>
        <v>1.0013452</v>
      </c>
      <c r="G46" s="88">
        <f>'3. Workings'!F119</f>
        <v>1.0013452</v>
      </c>
      <c r="H46" s="62" t="s">
        <v>398</v>
      </c>
    </row>
    <row r="47" spans="2:8" ht="16.05" customHeight="1" x14ac:dyDescent="0.25">
      <c r="B47" s="62" t="s">
        <v>1697</v>
      </c>
      <c r="C47" s="62" t="s">
        <v>1695</v>
      </c>
      <c r="D47" s="62" t="s">
        <v>1698</v>
      </c>
      <c r="E47" s="88">
        <f>'3. Workings'!D121</f>
        <v>0.36999959999999998</v>
      </c>
      <c r="F47" s="88">
        <f>'3. Workings'!E121</f>
        <v>0.36999959999999998</v>
      </c>
      <c r="G47" s="88">
        <f>'3. Workings'!F121</f>
        <v>0.36999959999999998</v>
      </c>
      <c r="H47" s="62" t="s">
        <v>398</v>
      </c>
    </row>
    <row r="48" spans="2:8" ht="16.05" customHeight="1" x14ac:dyDescent="0.25">
      <c r="B48" s="62" t="s">
        <v>1699</v>
      </c>
      <c r="C48" s="62" t="s">
        <v>1700</v>
      </c>
      <c r="D48" s="62" t="s">
        <v>1701</v>
      </c>
      <c r="E48" s="67">
        <f>'3. Workings'!D123</f>
        <v>4388.9182330311123</v>
      </c>
      <c r="F48" s="67">
        <f>'3. Workings'!E123</f>
        <v>13166.754699093333</v>
      </c>
      <c r="G48" s="67">
        <f>'3. Workings'!F123</f>
        <v>21944.591165155558</v>
      </c>
      <c r="H48" s="62" t="s">
        <v>931</v>
      </c>
    </row>
    <row r="49" spans="2:8" ht="16.05" customHeight="1" x14ac:dyDescent="0.25">
      <c r="B49" s="62" t="s">
        <v>1702</v>
      </c>
      <c r="C49" s="62" t="s">
        <v>1700</v>
      </c>
      <c r="D49" s="62" t="s">
        <v>1703</v>
      </c>
      <c r="E49" s="88">
        <f>'3. Workings'!D124</f>
        <v>0.23700158458368006</v>
      </c>
      <c r="F49" s="88">
        <f>'3. Workings'!E124</f>
        <v>0.59250396145920003</v>
      </c>
      <c r="G49" s="88">
        <f>'3. Workings'!F124</f>
        <v>0.79000528194560016</v>
      </c>
      <c r="H49" s="62" t="s">
        <v>398</v>
      </c>
    </row>
    <row r="50" spans="2:8" ht="16.05" customHeight="1" x14ac:dyDescent="0.25"/>
    <row r="51" spans="2:8" ht="16.05" customHeight="1" x14ac:dyDescent="0.25">
      <c r="C51" s="58" t="s">
        <v>1704</v>
      </c>
    </row>
  </sheetData>
  <mergeCells count="5">
    <mergeCell ref="B2:H2"/>
    <mergeCell ref="B3:H3"/>
    <mergeCell ref="B5:H5"/>
    <mergeCell ref="B17:H17"/>
    <mergeCell ref="B30:H30"/>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F3864"/>
    <pageSetUpPr fitToPage="1"/>
  </sheetPr>
  <dimension ref="B2:K97"/>
  <sheetViews>
    <sheetView showGridLines="0" zoomScale="90" zoomScaleNormal="90" workbookViewId="0"/>
  </sheetViews>
  <sheetFormatPr defaultColWidth="8.6640625" defaultRowHeight="13.8" x14ac:dyDescent="0.25"/>
  <cols>
    <col min="1" max="1" width="8.6640625" style="1"/>
    <col min="2" max="2" width="9" style="1" customWidth="1"/>
    <col min="3" max="3" width="14" style="1" customWidth="1"/>
    <col min="4" max="4" width="62" style="1" customWidth="1"/>
    <col min="5" max="5" width="17" style="1" customWidth="1"/>
    <col min="6" max="6" width="60" style="1" customWidth="1"/>
    <col min="7" max="7" width="22" style="1" customWidth="1"/>
    <col min="8" max="8" width="46" style="1" customWidth="1"/>
    <col min="9" max="10" width="12" style="1" customWidth="1"/>
    <col min="11" max="11" width="52" style="1" customWidth="1"/>
    <col min="12" max="16384" width="8.6640625" style="1"/>
  </cols>
  <sheetData>
    <row r="2" spans="2:9" ht="16.05" customHeight="1" x14ac:dyDescent="0.25">
      <c r="B2" s="148" t="s">
        <v>1705</v>
      </c>
      <c r="C2" s="148"/>
      <c r="D2" s="148"/>
      <c r="E2" s="148"/>
      <c r="F2" s="148"/>
      <c r="G2" s="148"/>
    </row>
    <row r="3" spans="2:9" ht="16.05" customHeight="1" x14ac:dyDescent="0.25">
      <c r="B3" s="58" t="s">
        <v>1706</v>
      </c>
    </row>
    <row r="4" spans="2:9" ht="16.05" customHeight="1" x14ac:dyDescent="0.25">
      <c r="B4" s="58" t="s">
        <v>1707</v>
      </c>
    </row>
    <row r="5" spans="2:9" ht="16.05" customHeight="1" x14ac:dyDescent="0.25">
      <c r="B5" s="58" t="s">
        <v>1708</v>
      </c>
    </row>
    <row r="6" spans="2:9" ht="16.05" customHeight="1" x14ac:dyDescent="0.25"/>
    <row r="7" spans="2:9" ht="16.05" customHeight="1" x14ac:dyDescent="0.25">
      <c r="B7" s="148" t="s">
        <v>1709</v>
      </c>
      <c r="C7" s="148"/>
      <c r="D7" s="148"/>
      <c r="E7" s="148"/>
      <c r="F7" s="148"/>
      <c r="G7" s="148"/>
    </row>
    <row r="8" spans="2:9" ht="16.05" customHeight="1" x14ac:dyDescent="0.25">
      <c r="B8" s="60" t="s">
        <v>4</v>
      </c>
      <c r="C8" s="60" t="s">
        <v>1710</v>
      </c>
      <c r="D8" s="60" t="s">
        <v>1711</v>
      </c>
      <c r="E8" s="60" t="s">
        <v>1712</v>
      </c>
      <c r="F8" s="60" t="s">
        <v>1713</v>
      </c>
      <c r="G8" s="60" t="s">
        <v>1714</v>
      </c>
      <c r="H8" s="60" t="s">
        <v>1715</v>
      </c>
      <c r="I8" s="60" t="s">
        <v>1716</v>
      </c>
    </row>
    <row r="9" spans="2:9" ht="16.05" customHeight="1" x14ac:dyDescent="0.25">
      <c r="B9" s="62" t="s">
        <v>1717</v>
      </c>
      <c r="C9" s="62" t="s">
        <v>1718</v>
      </c>
      <c r="D9" s="62" t="s">
        <v>1719</v>
      </c>
      <c r="E9" s="62" t="s">
        <v>1720</v>
      </c>
      <c r="F9" s="62" t="s">
        <v>1721</v>
      </c>
      <c r="G9" s="62" t="s">
        <v>1722</v>
      </c>
      <c r="H9" s="62" t="s">
        <v>1723</v>
      </c>
      <c r="I9" s="62" t="s">
        <v>1724</v>
      </c>
    </row>
    <row r="10" spans="2:9" ht="16.05" customHeight="1" x14ac:dyDescent="0.25">
      <c r="B10" s="62" t="s">
        <v>1725</v>
      </c>
      <c r="C10" s="62" t="s">
        <v>1718</v>
      </c>
      <c r="D10" s="62" t="s">
        <v>1726</v>
      </c>
      <c r="E10" s="62" t="s">
        <v>1720</v>
      </c>
      <c r="F10" s="62" t="s">
        <v>1727</v>
      </c>
      <c r="G10" s="62" t="s">
        <v>1728</v>
      </c>
      <c r="H10" s="62" t="s">
        <v>1729</v>
      </c>
      <c r="I10" s="62" t="s">
        <v>1730</v>
      </c>
    </row>
    <row r="11" spans="2:9" ht="16.05" customHeight="1" x14ac:dyDescent="0.25">
      <c r="B11" s="62" t="s">
        <v>1731</v>
      </c>
      <c r="C11" s="62" t="s">
        <v>1732</v>
      </c>
      <c r="D11" s="62" t="s">
        <v>1733</v>
      </c>
      <c r="E11" s="62" t="s">
        <v>1720</v>
      </c>
      <c r="F11" s="62" t="s">
        <v>1734</v>
      </c>
      <c r="G11" s="62" t="s">
        <v>1735</v>
      </c>
      <c r="H11" s="62" t="s">
        <v>1736</v>
      </c>
      <c r="I11" s="62" t="s">
        <v>1737</v>
      </c>
    </row>
    <row r="12" spans="2:9" ht="16.05" customHeight="1" x14ac:dyDescent="0.25">
      <c r="B12" s="62" t="s">
        <v>1738</v>
      </c>
      <c r="C12" s="62" t="s">
        <v>1739</v>
      </c>
      <c r="D12" s="62" t="s">
        <v>1740</v>
      </c>
      <c r="E12" s="62" t="s">
        <v>1720</v>
      </c>
      <c r="F12" s="62" t="s">
        <v>1741</v>
      </c>
      <c r="G12" s="62" t="s">
        <v>162</v>
      </c>
      <c r="H12" s="62" t="s">
        <v>1742</v>
      </c>
      <c r="I12" s="62" t="s">
        <v>1743</v>
      </c>
    </row>
    <row r="13" spans="2:9" ht="16.05" customHeight="1" x14ac:dyDescent="0.25">
      <c r="B13" s="62" t="s">
        <v>1744</v>
      </c>
      <c r="C13" s="62" t="s">
        <v>1739</v>
      </c>
      <c r="D13" s="62" t="s">
        <v>1745</v>
      </c>
      <c r="E13" s="62" t="s">
        <v>1720</v>
      </c>
      <c r="F13" s="62" t="s">
        <v>1746</v>
      </c>
      <c r="G13" s="61">
        <v>2025</v>
      </c>
      <c r="H13" s="62" t="s">
        <v>1747</v>
      </c>
      <c r="I13" s="62" t="s">
        <v>1743</v>
      </c>
    </row>
    <row r="14" spans="2:9" ht="16.05" customHeight="1" x14ac:dyDescent="0.25">
      <c r="B14" s="62" t="s">
        <v>1748</v>
      </c>
      <c r="C14" s="62" t="s">
        <v>1739</v>
      </c>
      <c r="D14" s="62" t="s">
        <v>1749</v>
      </c>
      <c r="E14" s="62" t="s">
        <v>1720</v>
      </c>
      <c r="F14" s="62" t="s">
        <v>1750</v>
      </c>
      <c r="G14" s="62" t="s">
        <v>1735</v>
      </c>
      <c r="H14" s="62" t="s">
        <v>1751</v>
      </c>
      <c r="I14" s="62" t="s">
        <v>1724</v>
      </c>
    </row>
    <row r="15" spans="2:9" ht="16.05" customHeight="1" x14ac:dyDescent="0.25">
      <c r="B15" s="62" t="s">
        <v>1752</v>
      </c>
      <c r="C15" s="62" t="s">
        <v>1753</v>
      </c>
      <c r="D15" s="62" t="s">
        <v>1754</v>
      </c>
      <c r="E15" s="62" t="s">
        <v>1720</v>
      </c>
      <c r="F15" s="62" t="s">
        <v>1755</v>
      </c>
      <c r="G15" s="62" t="s">
        <v>1735</v>
      </c>
      <c r="H15" s="62" t="s">
        <v>1756</v>
      </c>
      <c r="I15" s="62" t="s">
        <v>1757</v>
      </c>
    </row>
    <row r="16" spans="2:9" ht="16.05" customHeight="1" x14ac:dyDescent="0.25">
      <c r="B16" s="62" t="s">
        <v>1758</v>
      </c>
      <c r="C16" s="62" t="s">
        <v>1753</v>
      </c>
      <c r="D16" s="62" t="s">
        <v>1759</v>
      </c>
      <c r="E16" s="62" t="s">
        <v>1760</v>
      </c>
      <c r="F16" s="62" t="s">
        <v>1761</v>
      </c>
      <c r="G16" s="62" t="s">
        <v>1762</v>
      </c>
      <c r="H16" s="62" t="s">
        <v>1763</v>
      </c>
      <c r="I16" s="62" t="s">
        <v>1090</v>
      </c>
    </row>
    <row r="17" spans="2:9" ht="16.05" customHeight="1" x14ac:dyDescent="0.25">
      <c r="B17" s="62" t="s">
        <v>1764</v>
      </c>
      <c r="C17" s="62" t="s">
        <v>1753</v>
      </c>
      <c r="D17" s="62" t="s">
        <v>1765</v>
      </c>
      <c r="E17" s="62" t="s">
        <v>1760</v>
      </c>
      <c r="F17" s="62" t="s">
        <v>1766</v>
      </c>
      <c r="G17" s="62" t="s">
        <v>1767</v>
      </c>
      <c r="H17" s="62" t="s">
        <v>1768</v>
      </c>
      <c r="I17" s="62" t="s">
        <v>1090</v>
      </c>
    </row>
    <row r="18" spans="2:9" ht="16.05" customHeight="1" x14ac:dyDescent="0.25">
      <c r="B18" s="62" t="s">
        <v>1769</v>
      </c>
      <c r="C18" s="62" t="s">
        <v>1753</v>
      </c>
      <c r="D18" s="62" t="s">
        <v>1770</v>
      </c>
      <c r="E18" s="62" t="s">
        <v>1760</v>
      </c>
      <c r="F18" s="62" t="s">
        <v>1771</v>
      </c>
      <c r="G18" s="62" t="s">
        <v>1762</v>
      </c>
      <c r="H18" s="62" t="s">
        <v>1772</v>
      </c>
      <c r="I18" s="62" t="s">
        <v>1773</v>
      </c>
    </row>
    <row r="19" spans="2:9" ht="16.05" customHeight="1" x14ac:dyDescent="0.25">
      <c r="B19" s="62" t="s">
        <v>1774</v>
      </c>
      <c r="C19" s="62" t="s">
        <v>1775</v>
      </c>
      <c r="D19" s="62" t="s">
        <v>1776</v>
      </c>
      <c r="E19" s="62" t="s">
        <v>1760</v>
      </c>
      <c r="F19" s="62" t="s">
        <v>1777</v>
      </c>
      <c r="G19" s="62" t="s">
        <v>1778</v>
      </c>
      <c r="H19" s="62" t="s">
        <v>1779</v>
      </c>
      <c r="I19" s="62" t="s">
        <v>1780</v>
      </c>
    </row>
    <row r="20" spans="2:9" ht="16.05" customHeight="1" x14ac:dyDescent="0.25">
      <c r="B20" s="62" t="s">
        <v>1781</v>
      </c>
      <c r="C20" s="62" t="s">
        <v>1775</v>
      </c>
      <c r="D20" s="62" t="s">
        <v>1782</v>
      </c>
      <c r="E20" s="62" t="s">
        <v>1760</v>
      </c>
      <c r="F20" s="62" t="s">
        <v>1783</v>
      </c>
      <c r="G20" s="62" t="s">
        <v>1784</v>
      </c>
      <c r="H20" s="62" t="s">
        <v>1785</v>
      </c>
      <c r="I20" s="62" t="s">
        <v>1724</v>
      </c>
    </row>
    <row r="21" spans="2:9" ht="16.05" customHeight="1" x14ac:dyDescent="0.25">
      <c r="B21" s="62" t="s">
        <v>1786</v>
      </c>
      <c r="C21" s="62" t="s">
        <v>1775</v>
      </c>
      <c r="D21" s="62" t="s">
        <v>1787</v>
      </c>
      <c r="E21" s="62" t="s">
        <v>1760</v>
      </c>
      <c r="F21" s="62" t="s">
        <v>1788</v>
      </c>
      <c r="G21" s="62" t="s">
        <v>1789</v>
      </c>
      <c r="H21" s="62" t="s">
        <v>1790</v>
      </c>
      <c r="I21" s="62" t="s">
        <v>1791</v>
      </c>
    </row>
    <row r="22" spans="2:9" ht="16.05" customHeight="1" x14ac:dyDescent="0.25">
      <c r="B22" s="62" t="s">
        <v>1792</v>
      </c>
      <c r="C22" s="62" t="s">
        <v>1775</v>
      </c>
      <c r="D22" s="62" t="s">
        <v>1793</v>
      </c>
      <c r="E22" s="62" t="s">
        <v>1794</v>
      </c>
      <c r="F22" s="62" t="s">
        <v>1795</v>
      </c>
      <c r="G22" s="62" t="s">
        <v>1796</v>
      </c>
      <c r="H22" s="62" t="s">
        <v>1797</v>
      </c>
      <c r="I22" s="62" t="s">
        <v>1743</v>
      </c>
    </row>
    <row r="23" spans="2:9" ht="16.05" customHeight="1" x14ac:dyDescent="0.25">
      <c r="B23" s="62" t="s">
        <v>1798</v>
      </c>
      <c r="C23" s="62" t="s">
        <v>1775</v>
      </c>
      <c r="D23" s="62" t="s">
        <v>1799</v>
      </c>
      <c r="E23" s="62" t="s">
        <v>1760</v>
      </c>
      <c r="F23" s="62" t="s">
        <v>1800</v>
      </c>
      <c r="G23" s="62" t="s">
        <v>162</v>
      </c>
      <c r="H23" s="62" t="s">
        <v>1801</v>
      </c>
      <c r="I23" s="62" t="s">
        <v>1791</v>
      </c>
    </row>
    <row r="24" spans="2:9" ht="16.05" customHeight="1" x14ac:dyDescent="0.25">
      <c r="B24" s="62" t="s">
        <v>1802</v>
      </c>
      <c r="C24" s="62" t="s">
        <v>1718</v>
      </c>
      <c r="D24" s="62" t="s">
        <v>1803</v>
      </c>
      <c r="E24" s="62" t="s">
        <v>1760</v>
      </c>
      <c r="F24" s="62" t="s">
        <v>1804</v>
      </c>
      <c r="G24" s="62" t="s">
        <v>1805</v>
      </c>
      <c r="H24" s="62" t="s">
        <v>1806</v>
      </c>
      <c r="I24" s="62" t="s">
        <v>1737</v>
      </c>
    </row>
    <row r="25" spans="2:9" ht="16.05" customHeight="1" x14ac:dyDescent="0.25">
      <c r="B25" s="62" t="s">
        <v>1807</v>
      </c>
      <c r="C25" s="62" t="s">
        <v>1753</v>
      </c>
      <c r="D25" s="62" t="s">
        <v>1808</v>
      </c>
      <c r="E25" s="62" t="s">
        <v>1720</v>
      </c>
      <c r="F25" s="62" t="s">
        <v>1809</v>
      </c>
      <c r="G25" s="62" t="s">
        <v>1810</v>
      </c>
      <c r="H25" s="62" t="s">
        <v>1811</v>
      </c>
      <c r="I25" s="62" t="s">
        <v>1743</v>
      </c>
    </row>
    <row r="26" spans="2:9" ht="16.05" customHeight="1" x14ac:dyDescent="0.25">
      <c r="B26" s="62" t="s">
        <v>1812</v>
      </c>
      <c r="C26" s="62" t="s">
        <v>1753</v>
      </c>
      <c r="D26" s="62" t="s">
        <v>1813</v>
      </c>
      <c r="E26" s="62" t="s">
        <v>1760</v>
      </c>
      <c r="F26" s="62" t="s">
        <v>1814</v>
      </c>
      <c r="G26" s="62" t="s">
        <v>1815</v>
      </c>
      <c r="H26" s="62" t="s">
        <v>1816</v>
      </c>
      <c r="I26" s="62" t="s">
        <v>1724</v>
      </c>
    </row>
    <row r="27" spans="2:9" ht="16.05" customHeight="1" x14ac:dyDescent="0.25">
      <c r="B27" s="62" t="s">
        <v>1817</v>
      </c>
      <c r="C27" s="62" t="s">
        <v>1775</v>
      </c>
      <c r="D27" s="62" t="s">
        <v>1818</v>
      </c>
      <c r="E27" s="62" t="s">
        <v>1760</v>
      </c>
      <c r="F27" s="62" t="s">
        <v>1819</v>
      </c>
      <c r="G27" s="62" t="s">
        <v>1820</v>
      </c>
      <c r="H27" s="62" t="s">
        <v>1821</v>
      </c>
      <c r="I27" s="62" t="s">
        <v>1757</v>
      </c>
    </row>
    <row r="28" spans="2:9" ht="16.05" customHeight="1" x14ac:dyDescent="0.25"/>
    <row r="29" spans="2:9" ht="16.05" customHeight="1" x14ac:dyDescent="0.25">
      <c r="B29" s="62" t="s">
        <v>1822</v>
      </c>
      <c r="C29" s="62" t="s">
        <v>1739</v>
      </c>
      <c r="D29" s="62" t="s">
        <v>1823</v>
      </c>
      <c r="E29" s="62" t="s">
        <v>1720</v>
      </c>
      <c r="F29" s="62" t="s">
        <v>1824</v>
      </c>
      <c r="G29" s="62" t="s">
        <v>1825</v>
      </c>
      <c r="H29" s="62" t="s">
        <v>1826</v>
      </c>
      <c r="I29" s="62" t="s">
        <v>1780</v>
      </c>
    </row>
    <row r="30" spans="2:9" ht="16.05" customHeight="1" x14ac:dyDescent="0.25">
      <c r="B30" s="62" t="s">
        <v>1827</v>
      </c>
      <c r="C30" s="62" t="s">
        <v>1739</v>
      </c>
      <c r="D30" s="62" t="s">
        <v>1828</v>
      </c>
      <c r="E30" s="62" t="s">
        <v>1760</v>
      </c>
      <c r="F30" s="62" t="s">
        <v>1829</v>
      </c>
      <c r="G30" s="62" t="s">
        <v>1825</v>
      </c>
      <c r="H30" s="62" t="s">
        <v>1830</v>
      </c>
      <c r="I30" s="62" t="s">
        <v>1791</v>
      </c>
    </row>
    <row r="31" spans="2:9" ht="16.05" customHeight="1" x14ac:dyDescent="0.25">
      <c r="B31" s="148" t="s">
        <v>1831</v>
      </c>
      <c r="C31" s="148"/>
      <c r="D31" s="148"/>
      <c r="E31" s="148"/>
      <c r="F31" s="148"/>
      <c r="G31" s="148"/>
    </row>
    <row r="32" spans="2:9" ht="16.05" customHeight="1" x14ac:dyDescent="0.25">
      <c r="B32" s="58" t="s">
        <v>1832</v>
      </c>
    </row>
    <row r="33" spans="2:11" ht="16.05" customHeight="1" x14ac:dyDescent="0.25">
      <c r="B33" s="60" t="s">
        <v>4</v>
      </c>
      <c r="C33" s="60" t="s">
        <v>1833</v>
      </c>
      <c r="D33" s="60" t="s">
        <v>1711</v>
      </c>
      <c r="E33" s="60" t="s">
        <v>1834</v>
      </c>
      <c r="F33" s="60" t="s">
        <v>1835</v>
      </c>
      <c r="G33" s="60" t="s">
        <v>1836</v>
      </c>
      <c r="H33" s="60" t="s">
        <v>1837</v>
      </c>
      <c r="I33" s="60" t="s">
        <v>1838</v>
      </c>
      <c r="J33" s="60" t="s">
        <v>1839</v>
      </c>
      <c r="K33" s="60" t="s">
        <v>1840</v>
      </c>
    </row>
    <row r="34" spans="2:11" ht="16.05" customHeight="1" x14ac:dyDescent="0.25">
      <c r="B34" s="62" t="s">
        <v>1841</v>
      </c>
      <c r="C34" s="62" t="s">
        <v>1842</v>
      </c>
      <c r="D34" s="62" t="s">
        <v>1843</v>
      </c>
      <c r="E34" s="61">
        <v>4</v>
      </c>
      <c r="F34" s="61">
        <v>4</v>
      </c>
      <c r="G34" s="61">
        <v>4</v>
      </c>
      <c r="H34" s="61">
        <v>4</v>
      </c>
      <c r="I34" s="61">
        <v>3</v>
      </c>
      <c r="J34" s="61">
        <v>4</v>
      </c>
      <c r="K34" s="62" t="s">
        <v>1844</v>
      </c>
    </row>
    <row r="35" spans="2:11" ht="16.05" customHeight="1" x14ac:dyDescent="0.25">
      <c r="B35" s="62" t="s">
        <v>1845</v>
      </c>
      <c r="C35" s="62" t="s">
        <v>1842</v>
      </c>
      <c r="D35" s="62" t="s">
        <v>1846</v>
      </c>
      <c r="E35" s="61">
        <v>4</v>
      </c>
      <c r="F35" s="61">
        <v>3</v>
      </c>
      <c r="G35" s="61">
        <v>4</v>
      </c>
      <c r="H35" s="61">
        <v>3</v>
      </c>
      <c r="I35" s="61">
        <v>5</v>
      </c>
      <c r="J35" s="61">
        <v>5</v>
      </c>
      <c r="K35" s="62" t="s">
        <v>1847</v>
      </c>
    </row>
    <row r="36" spans="2:11" ht="16.05" customHeight="1" x14ac:dyDescent="0.25">
      <c r="B36" s="62" t="s">
        <v>1848</v>
      </c>
      <c r="C36" s="62" t="s">
        <v>1842</v>
      </c>
      <c r="D36" s="62" t="s">
        <v>1849</v>
      </c>
      <c r="E36" s="61">
        <v>3</v>
      </c>
      <c r="F36" s="61">
        <v>4</v>
      </c>
      <c r="G36" s="61">
        <v>3</v>
      </c>
      <c r="H36" s="61">
        <v>3</v>
      </c>
      <c r="I36" s="61">
        <v>3</v>
      </c>
      <c r="J36" s="61">
        <v>3</v>
      </c>
      <c r="K36" s="62" t="s">
        <v>1850</v>
      </c>
    </row>
    <row r="37" spans="2:11" ht="16.05" customHeight="1" x14ac:dyDescent="0.25">
      <c r="B37" s="62" t="s">
        <v>1851</v>
      </c>
      <c r="C37" s="62" t="s">
        <v>1842</v>
      </c>
      <c r="D37" s="62" t="s">
        <v>1852</v>
      </c>
      <c r="E37" s="61">
        <v>2</v>
      </c>
      <c r="F37" s="61">
        <v>2</v>
      </c>
      <c r="G37" s="61">
        <v>4</v>
      </c>
      <c r="H37" s="61">
        <v>3</v>
      </c>
      <c r="I37" s="61">
        <v>4</v>
      </c>
      <c r="J37" s="61">
        <v>4</v>
      </c>
      <c r="K37" s="62" t="s">
        <v>1853</v>
      </c>
    </row>
    <row r="38" spans="2:11" ht="16.05" customHeight="1" x14ac:dyDescent="0.25">
      <c r="B38" s="62" t="s">
        <v>1854</v>
      </c>
      <c r="C38" s="62" t="s">
        <v>1842</v>
      </c>
      <c r="D38" s="62" t="s">
        <v>1855</v>
      </c>
      <c r="E38" s="61">
        <v>3</v>
      </c>
      <c r="F38" s="61">
        <v>2</v>
      </c>
      <c r="G38" s="61">
        <v>5</v>
      </c>
      <c r="H38" s="61">
        <v>5</v>
      </c>
      <c r="I38" s="61">
        <v>5</v>
      </c>
      <c r="J38" s="61">
        <v>4</v>
      </c>
      <c r="K38" s="62" t="s">
        <v>1856</v>
      </c>
    </row>
    <row r="39" spans="2:11" ht="16.05" customHeight="1" x14ac:dyDescent="0.25">
      <c r="B39" s="62" t="s">
        <v>1857</v>
      </c>
      <c r="C39" s="62" t="s">
        <v>1842</v>
      </c>
      <c r="D39" s="62" t="s">
        <v>1858</v>
      </c>
      <c r="E39" s="61">
        <v>2</v>
      </c>
      <c r="F39" s="61">
        <v>2</v>
      </c>
      <c r="G39" s="61">
        <v>4</v>
      </c>
      <c r="H39" s="61">
        <v>4</v>
      </c>
      <c r="I39" s="61">
        <v>3</v>
      </c>
      <c r="J39" s="61">
        <v>2</v>
      </c>
      <c r="K39" s="62" t="s">
        <v>1859</v>
      </c>
    </row>
    <row r="40" spans="2:11" ht="16.05" customHeight="1" x14ac:dyDescent="0.25">
      <c r="B40" s="62" t="s">
        <v>1860</v>
      </c>
      <c r="C40" s="62" t="s">
        <v>1842</v>
      </c>
      <c r="D40" s="62" t="s">
        <v>1861</v>
      </c>
      <c r="E40" s="61">
        <v>3</v>
      </c>
      <c r="F40" s="61">
        <v>3</v>
      </c>
      <c r="G40" s="61">
        <v>3</v>
      </c>
      <c r="H40" s="61">
        <v>3</v>
      </c>
      <c r="I40" s="61">
        <v>5</v>
      </c>
      <c r="J40" s="61">
        <v>5</v>
      </c>
      <c r="K40" s="62" t="s">
        <v>1862</v>
      </c>
    </row>
    <row r="41" spans="2:11" ht="16.05" customHeight="1" x14ac:dyDescent="0.25">
      <c r="B41" s="62" t="s">
        <v>1863</v>
      </c>
      <c r="C41" s="62" t="s">
        <v>1842</v>
      </c>
      <c r="D41" s="62" t="s">
        <v>1864</v>
      </c>
      <c r="E41" s="61">
        <v>3</v>
      </c>
      <c r="F41" s="61">
        <v>2</v>
      </c>
      <c r="G41" s="61">
        <v>3</v>
      </c>
      <c r="H41" s="61">
        <v>2</v>
      </c>
      <c r="I41" s="61">
        <v>4</v>
      </c>
      <c r="J41" s="61">
        <v>4</v>
      </c>
      <c r="K41" s="62" t="s">
        <v>1865</v>
      </c>
    </row>
    <row r="42" spans="2:11" ht="16.05" customHeight="1" x14ac:dyDescent="0.25">
      <c r="B42" s="62" t="s">
        <v>1866</v>
      </c>
      <c r="C42" s="62" t="s">
        <v>1842</v>
      </c>
      <c r="D42" s="62" t="s">
        <v>1867</v>
      </c>
      <c r="E42" s="61">
        <v>2</v>
      </c>
      <c r="F42" s="61">
        <v>2</v>
      </c>
      <c r="G42" s="61">
        <v>2</v>
      </c>
      <c r="H42" s="61">
        <v>2</v>
      </c>
      <c r="I42" s="61">
        <v>2</v>
      </c>
      <c r="J42" s="61">
        <v>2</v>
      </c>
      <c r="K42" s="62" t="s">
        <v>1868</v>
      </c>
    </row>
    <row r="43" spans="2:11" ht="16.05" customHeight="1" x14ac:dyDescent="0.25">
      <c r="B43" s="62" t="s">
        <v>1869</v>
      </c>
      <c r="C43" s="62" t="s">
        <v>1739</v>
      </c>
      <c r="D43" s="62" t="s">
        <v>1870</v>
      </c>
      <c r="E43" s="61">
        <v>4</v>
      </c>
      <c r="F43" s="61">
        <v>4</v>
      </c>
      <c r="G43" s="61">
        <v>3</v>
      </c>
      <c r="H43" s="61">
        <v>1</v>
      </c>
      <c r="I43" s="61">
        <v>2</v>
      </c>
      <c r="J43" s="61">
        <v>2</v>
      </c>
      <c r="K43" s="62" t="s">
        <v>1871</v>
      </c>
    </row>
    <row r="44" spans="2:11" ht="16.05" customHeight="1" x14ac:dyDescent="0.25">
      <c r="B44" s="62" t="s">
        <v>1872</v>
      </c>
      <c r="C44" s="62" t="s">
        <v>1739</v>
      </c>
      <c r="D44" s="62" t="s">
        <v>1873</v>
      </c>
      <c r="E44" s="61">
        <v>3</v>
      </c>
      <c r="F44" s="61">
        <v>3</v>
      </c>
      <c r="G44" s="61">
        <v>3</v>
      </c>
      <c r="H44" s="61">
        <v>2</v>
      </c>
      <c r="I44" s="61">
        <v>2</v>
      </c>
      <c r="J44" s="61">
        <v>3</v>
      </c>
      <c r="K44" s="62" t="s">
        <v>1874</v>
      </c>
    </row>
    <row r="45" spans="2:11" ht="16.05" customHeight="1" x14ac:dyDescent="0.25">
      <c r="B45" s="62" t="s">
        <v>1875</v>
      </c>
      <c r="C45" s="62" t="s">
        <v>1739</v>
      </c>
      <c r="D45" s="62" t="s">
        <v>1876</v>
      </c>
      <c r="E45" s="61">
        <v>3</v>
      </c>
      <c r="F45" s="61">
        <v>3</v>
      </c>
      <c r="G45" s="61">
        <v>3</v>
      </c>
      <c r="H45" s="61">
        <v>1</v>
      </c>
      <c r="I45" s="61">
        <v>3</v>
      </c>
      <c r="J45" s="61">
        <v>4</v>
      </c>
      <c r="K45" s="62" t="s">
        <v>1877</v>
      </c>
    </row>
    <row r="46" spans="2:11" ht="16.05" customHeight="1" x14ac:dyDescent="0.25">
      <c r="B46" s="62" t="s">
        <v>1878</v>
      </c>
      <c r="C46" s="62" t="s">
        <v>1739</v>
      </c>
      <c r="D46" s="62" t="s">
        <v>1879</v>
      </c>
      <c r="E46" s="61">
        <v>3</v>
      </c>
      <c r="F46" s="61">
        <v>3</v>
      </c>
      <c r="G46" s="61">
        <v>2</v>
      </c>
      <c r="H46" s="61">
        <v>1</v>
      </c>
      <c r="I46" s="61">
        <v>3</v>
      </c>
      <c r="J46" s="61">
        <v>4</v>
      </c>
      <c r="K46" s="62" t="s">
        <v>1880</v>
      </c>
    </row>
    <row r="47" spans="2:11" ht="16.05" customHeight="1" x14ac:dyDescent="0.25">
      <c r="B47" s="62" t="s">
        <v>1881</v>
      </c>
      <c r="C47" s="62" t="s">
        <v>1739</v>
      </c>
      <c r="D47" s="62" t="s">
        <v>1882</v>
      </c>
      <c r="E47" s="61">
        <v>4</v>
      </c>
      <c r="F47" s="61">
        <v>4</v>
      </c>
      <c r="G47" s="61">
        <v>2</v>
      </c>
      <c r="H47" s="61">
        <v>1</v>
      </c>
      <c r="I47" s="61">
        <v>5</v>
      </c>
      <c r="J47" s="61">
        <v>5</v>
      </c>
      <c r="K47" s="62" t="s">
        <v>1883</v>
      </c>
    </row>
    <row r="48" spans="2:11" ht="16.05" customHeight="1" x14ac:dyDescent="0.25">
      <c r="B48" s="62" t="s">
        <v>1884</v>
      </c>
      <c r="C48" s="62" t="s">
        <v>1739</v>
      </c>
      <c r="D48" s="62" t="s">
        <v>1885</v>
      </c>
      <c r="E48" s="61">
        <v>3</v>
      </c>
      <c r="F48" s="61">
        <v>2</v>
      </c>
      <c r="G48" s="61">
        <v>3</v>
      </c>
      <c r="H48" s="61">
        <v>3</v>
      </c>
      <c r="I48" s="61">
        <v>5</v>
      </c>
      <c r="J48" s="61">
        <v>5</v>
      </c>
      <c r="K48" s="62" t="s">
        <v>1886</v>
      </c>
    </row>
    <row r="49" spans="2:11" ht="16.05" customHeight="1" x14ac:dyDescent="0.25">
      <c r="B49" s="62" t="s">
        <v>1887</v>
      </c>
      <c r="C49" s="62" t="s">
        <v>1739</v>
      </c>
      <c r="D49" s="62" t="s">
        <v>1888</v>
      </c>
      <c r="E49" s="61">
        <v>3</v>
      </c>
      <c r="F49" s="61">
        <v>2</v>
      </c>
      <c r="G49" s="61">
        <v>4</v>
      </c>
      <c r="H49" s="61">
        <v>4</v>
      </c>
      <c r="I49" s="61">
        <v>4</v>
      </c>
      <c r="J49" s="61">
        <v>3</v>
      </c>
      <c r="K49" s="62" t="s">
        <v>1889</v>
      </c>
    </row>
    <row r="50" spans="2:11" ht="16.05" customHeight="1" x14ac:dyDescent="0.25">
      <c r="B50" s="62" t="s">
        <v>1890</v>
      </c>
      <c r="C50" s="62" t="s">
        <v>1739</v>
      </c>
      <c r="D50" s="62" t="s">
        <v>1891</v>
      </c>
      <c r="E50" s="61">
        <v>3</v>
      </c>
      <c r="F50" s="61">
        <v>3</v>
      </c>
      <c r="G50" s="61">
        <v>3</v>
      </c>
      <c r="H50" s="61">
        <v>1</v>
      </c>
      <c r="I50" s="61">
        <v>2</v>
      </c>
      <c r="J50" s="61">
        <v>2</v>
      </c>
      <c r="K50" s="62" t="s">
        <v>1892</v>
      </c>
    </row>
    <row r="51" spans="2:11" ht="16.05" customHeight="1" x14ac:dyDescent="0.25">
      <c r="B51" s="62" t="s">
        <v>1893</v>
      </c>
      <c r="C51" s="62" t="s">
        <v>1739</v>
      </c>
      <c r="D51" s="62" t="s">
        <v>1894</v>
      </c>
      <c r="E51" s="61">
        <v>4</v>
      </c>
      <c r="F51" s="61">
        <v>3</v>
      </c>
      <c r="G51" s="61">
        <v>5</v>
      </c>
      <c r="H51" s="61">
        <v>5</v>
      </c>
      <c r="I51" s="61">
        <v>4</v>
      </c>
      <c r="J51" s="61">
        <v>4</v>
      </c>
      <c r="K51" s="62" t="s">
        <v>1895</v>
      </c>
    </row>
    <row r="52" spans="2:11" ht="16.05" customHeight="1" x14ac:dyDescent="0.25">
      <c r="B52" s="62" t="s">
        <v>1724</v>
      </c>
      <c r="C52" s="62" t="s">
        <v>1732</v>
      </c>
      <c r="D52" s="62" t="s">
        <v>1896</v>
      </c>
      <c r="E52" s="61">
        <v>2</v>
      </c>
      <c r="F52" s="61">
        <v>2</v>
      </c>
      <c r="G52" s="61">
        <v>2</v>
      </c>
      <c r="H52" s="61">
        <v>2</v>
      </c>
      <c r="I52" s="61">
        <v>2</v>
      </c>
      <c r="J52" s="61">
        <v>2</v>
      </c>
      <c r="K52" s="62" t="s">
        <v>1897</v>
      </c>
    </row>
    <row r="53" spans="2:11" ht="16.05" customHeight="1" x14ac:dyDescent="0.25">
      <c r="B53" s="62" t="s">
        <v>1743</v>
      </c>
      <c r="C53" s="62" t="s">
        <v>1732</v>
      </c>
      <c r="D53" s="62" t="s">
        <v>1898</v>
      </c>
      <c r="E53" s="61">
        <v>3</v>
      </c>
      <c r="F53" s="61">
        <v>3</v>
      </c>
      <c r="G53" s="61">
        <v>3</v>
      </c>
      <c r="H53" s="61">
        <v>4</v>
      </c>
      <c r="I53" s="61">
        <v>3</v>
      </c>
      <c r="J53" s="61">
        <v>3</v>
      </c>
      <c r="K53" s="62" t="s">
        <v>1717</v>
      </c>
    </row>
    <row r="54" spans="2:11" ht="16.05" customHeight="1" x14ac:dyDescent="0.25">
      <c r="B54" s="62" t="s">
        <v>1730</v>
      </c>
      <c r="C54" s="62" t="s">
        <v>1732</v>
      </c>
      <c r="D54" s="62" t="s">
        <v>1899</v>
      </c>
      <c r="E54" s="61">
        <v>3</v>
      </c>
      <c r="F54" s="61">
        <v>4</v>
      </c>
      <c r="G54" s="61">
        <v>3</v>
      </c>
      <c r="H54" s="61">
        <v>1</v>
      </c>
      <c r="I54" s="61">
        <v>5</v>
      </c>
      <c r="J54" s="61">
        <v>5</v>
      </c>
      <c r="K54" s="62" t="s">
        <v>1900</v>
      </c>
    </row>
    <row r="55" spans="2:11" ht="16.05" customHeight="1" x14ac:dyDescent="0.25">
      <c r="B55" s="62" t="s">
        <v>1757</v>
      </c>
      <c r="C55" s="62" t="s">
        <v>1732</v>
      </c>
      <c r="D55" s="62" t="s">
        <v>1901</v>
      </c>
      <c r="E55" s="61">
        <v>3</v>
      </c>
      <c r="F55" s="61">
        <v>2</v>
      </c>
      <c r="G55" s="61">
        <v>4</v>
      </c>
      <c r="H55" s="61">
        <v>4</v>
      </c>
      <c r="I55" s="61">
        <v>4</v>
      </c>
      <c r="J55" s="61">
        <v>3</v>
      </c>
      <c r="K55" s="62" t="s">
        <v>1902</v>
      </c>
    </row>
    <row r="56" spans="2:11" ht="16.05" customHeight="1" x14ac:dyDescent="0.25">
      <c r="B56" s="62" t="s">
        <v>1791</v>
      </c>
      <c r="C56" s="62" t="s">
        <v>1732</v>
      </c>
      <c r="D56" s="62" t="s">
        <v>1903</v>
      </c>
      <c r="E56" s="61">
        <v>3</v>
      </c>
      <c r="F56" s="61">
        <v>3</v>
      </c>
      <c r="G56" s="61">
        <v>3</v>
      </c>
      <c r="H56" s="61">
        <v>3</v>
      </c>
      <c r="I56" s="61">
        <v>3</v>
      </c>
      <c r="J56" s="61">
        <v>3</v>
      </c>
      <c r="K56" s="62" t="s">
        <v>1904</v>
      </c>
    </row>
    <row r="57" spans="2:11" ht="16.05" customHeight="1" x14ac:dyDescent="0.25">
      <c r="B57" s="62" t="s">
        <v>1905</v>
      </c>
      <c r="C57" s="62" t="s">
        <v>1753</v>
      </c>
      <c r="D57" s="62" t="s">
        <v>1906</v>
      </c>
      <c r="E57" s="61">
        <v>3</v>
      </c>
      <c r="F57" s="61">
        <v>2</v>
      </c>
      <c r="G57" s="61">
        <v>5</v>
      </c>
      <c r="H57" s="61">
        <v>5</v>
      </c>
      <c r="I57" s="61">
        <v>5</v>
      </c>
      <c r="J57" s="61">
        <v>4</v>
      </c>
      <c r="K57" s="62" t="s">
        <v>1907</v>
      </c>
    </row>
    <row r="58" spans="2:11" ht="16.05" customHeight="1" x14ac:dyDescent="0.25">
      <c r="B58" s="62" t="s">
        <v>1908</v>
      </c>
      <c r="C58" s="62" t="s">
        <v>1753</v>
      </c>
      <c r="D58" s="62" t="s">
        <v>1909</v>
      </c>
      <c r="E58" s="61">
        <v>2</v>
      </c>
      <c r="F58" s="61">
        <v>2</v>
      </c>
      <c r="G58" s="61">
        <v>3</v>
      </c>
      <c r="H58" s="61">
        <v>2</v>
      </c>
      <c r="I58" s="61">
        <v>4</v>
      </c>
      <c r="J58" s="61">
        <v>3</v>
      </c>
      <c r="K58" s="62" t="s">
        <v>1910</v>
      </c>
    </row>
    <row r="59" spans="2:11" ht="16.05" customHeight="1" x14ac:dyDescent="0.25">
      <c r="B59" s="62" t="s">
        <v>1911</v>
      </c>
      <c r="C59" s="62" t="s">
        <v>1753</v>
      </c>
      <c r="D59" s="62" t="s">
        <v>1912</v>
      </c>
      <c r="E59" s="61">
        <v>3</v>
      </c>
      <c r="F59" s="61">
        <v>2</v>
      </c>
      <c r="G59" s="61">
        <v>4</v>
      </c>
      <c r="H59" s="61">
        <v>4</v>
      </c>
      <c r="I59" s="61">
        <v>5</v>
      </c>
      <c r="J59" s="61">
        <v>4</v>
      </c>
      <c r="K59" s="62" t="s">
        <v>1913</v>
      </c>
    </row>
    <row r="60" spans="2:11" ht="16.05" customHeight="1" x14ac:dyDescent="0.25">
      <c r="B60" s="62" t="s">
        <v>1914</v>
      </c>
      <c r="C60" s="62" t="s">
        <v>1753</v>
      </c>
      <c r="D60" s="62" t="s">
        <v>1915</v>
      </c>
      <c r="E60" s="61">
        <v>3</v>
      </c>
      <c r="F60" s="61">
        <v>3</v>
      </c>
      <c r="G60" s="61">
        <v>3</v>
      </c>
      <c r="H60" s="61">
        <v>4</v>
      </c>
      <c r="I60" s="61">
        <v>4</v>
      </c>
      <c r="J60" s="61">
        <v>3</v>
      </c>
      <c r="K60" s="62" t="s">
        <v>1752</v>
      </c>
    </row>
    <row r="61" spans="2:11" ht="16.05" customHeight="1" x14ac:dyDescent="0.25">
      <c r="B61" s="62" t="s">
        <v>1916</v>
      </c>
      <c r="C61" s="62" t="s">
        <v>1753</v>
      </c>
      <c r="D61" s="62" t="s">
        <v>1917</v>
      </c>
      <c r="E61" s="61">
        <v>3</v>
      </c>
      <c r="F61" s="61">
        <v>2</v>
      </c>
      <c r="G61" s="61">
        <v>4</v>
      </c>
      <c r="H61" s="61">
        <v>5</v>
      </c>
      <c r="I61" s="61">
        <v>4</v>
      </c>
      <c r="J61" s="61">
        <v>2</v>
      </c>
      <c r="K61" s="62" t="s">
        <v>1918</v>
      </c>
    </row>
    <row r="62" spans="2:11" ht="16.05" customHeight="1" x14ac:dyDescent="0.25">
      <c r="B62" s="62" t="s">
        <v>1919</v>
      </c>
      <c r="C62" s="62" t="s">
        <v>1753</v>
      </c>
      <c r="D62" s="62" t="s">
        <v>1920</v>
      </c>
      <c r="E62" s="61">
        <v>3</v>
      </c>
      <c r="F62" s="61">
        <v>2</v>
      </c>
      <c r="G62" s="61">
        <v>4</v>
      </c>
      <c r="H62" s="61">
        <v>5</v>
      </c>
      <c r="I62" s="61">
        <v>3</v>
      </c>
      <c r="J62" s="61">
        <v>2</v>
      </c>
      <c r="K62" s="62" t="s">
        <v>1921</v>
      </c>
    </row>
    <row r="63" spans="2:11" ht="16.05" customHeight="1" x14ac:dyDescent="0.25"/>
    <row r="64" spans="2:11" ht="16.05" customHeight="1" x14ac:dyDescent="0.25">
      <c r="B64" s="148" t="s">
        <v>1922</v>
      </c>
      <c r="C64" s="148"/>
      <c r="D64" s="148"/>
      <c r="E64" s="148"/>
      <c r="F64" s="148"/>
      <c r="G64" s="148"/>
    </row>
    <row r="65" spans="2:7" ht="16.05" customHeight="1" x14ac:dyDescent="0.25">
      <c r="B65" s="60" t="s">
        <v>4</v>
      </c>
      <c r="C65" s="60" t="s">
        <v>1923</v>
      </c>
      <c r="D65" s="60" t="s">
        <v>1924</v>
      </c>
    </row>
    <row r="66" spans="2:7" ht="16.05" customHeight="1" x14ac:dyDescent="0.25">
      <c r="B66" s="62" t="s">
        <v>1925</v>
      </c>
      <c r="C66" s="62" t="s">
        <v>1926</v>
      </c>
      <c r="D66" s="62" t="s">
        <v>1927</v>
      </c>
    </row>
    <row r="67" spans="2:7" ht="16.05" customHeight="1" x14ac:dyDescent="0.25">
      <c r="B67" s="62" t="s">
        <v>1928</v>
      </c>
      <c r="C67" s="62" t="s">
        <v>1929</v>
      </c>
      <c r="D67" s="62" t="s">
        <v>1930</v>
      </c>
    </row>
    <row r="68" spans="2:7" ht="16.05" customHeight="1" x14ac:dyDescent="0.25">
      <c r="B68" s="62" t="s">
        <v>1931</v>
      </c>
      <c r="C68" s="62" t="s">
        <v>1932</v>
      </c>
      <c r="D68" s="62" t="s">
        <v>1933</v>
      </c>
    </row>
    <row r="69" spans="2:7" ht="16.05" customHeight="1" x14ac:dyDescent="0.25">
      <c r="B69" s="62" t="s">
        <v>1934</v>
      </c>
      <c r="C69" s="62" t="s">
        <v>1935</v>
      </c>
      <c r="D69" s="62" t="s">
        <v>1936</v>
      </c>
    </row>
    <row r="70" spans="2:7" ht="16.05" customHeight="1" x14ac:dyDescent="0.25">
      <c r="B70" s="62" t="s">
        <v>1937</v>
      </c>
      <c r="C70" s="62" t="s">
        <v>1938</v>
      </c>
      <c r="D70" s="62" t="s">
        <v>1939</v>
      </c>
    </row>
    <row r="71" spans="2:7" ht="16.05" customHeight="1" x14ac:dyDescent="0.25">
      <c r="B71" s="62" t="s">
        <v>1940</v>
      </c>
      <c r="C71" s="62" t="s">
        <v>1941</v>
      </c>
      <c r="D71" s="62" t="s">
        <v>1942</v>
      </c>
    </row>
    <row r="72" spans="2:7" ht="16.05" customHeight="1" x14ac:dyDescent="0.25">
      <c r="B72" s="62" t="s">
        <v>1943</v>
      </c>
      <c r="C72" s="62" t="s">
        <v>1944</v>
      </c>
      <c r="D72" s="62" t="s">
        <v>1945</v>
      </c>
    </row>
    <row r="73" spans="2:7" ht="16.05" customHeight="1" x14ac:dyDescent="0.25">
      <c r="B73" s="62" t="s">
        <v>1946</v>
      </c>
      <c r="C73" s="62" t="s">
        <v>1947</v>
      </c>
      <c r="D73" s="62" t="s">
        <v>1948</v>
      </c>
    </row>
    <row r="74" spans="2:7" ht="16.05" customHeight="1" x14ac:dyDescent="0.25"/>
    <row r="75" spans="2:7" ht="16.05" customHeight="1" x14ac:dyDescent="0.25">
      <c r="B75" s="148" t="s">
        <v>1949</v>
      </c>
      <c r="C75" s="148"/>
      <c r="D75" s="148"/>
      <c r="E75" s="148"/>
      <c r="F75" s="148"/>
      <c r="G75" s="148"/>
    </row>
    <row r="76" spans="2:7" ht="16.05" customHeight="1" x14ac:dyDescent="0.25">
      <c r="B76" s="62" t="s">
        <v>365</v>
      </c>
      <c r="C76" s="62" t="s">
        <v>1950</v>
      </c>
    </row>
    <row r="77" spans="2:7" ht="16.05" customHeight="1" x14ac:dyDescent="0.25">
      <c r="B77" s="62" t="s">
        <v>367</v>
      </c>
      <c r="C77" s="62" t="s">
        <v>1951</v>
      </c>
    </row>
    <row r="78" spans="2:7" ht="16.05" customHeight="1" x14ac:dyDescent="0.25">
      <c r="B78" s="62" t="s">
        <v>369</v>
      </c>
      <c r="C78" s="62" t="s">
        <v>1952</v>
      </c>
    </row>
    <row r="79" spans="2:7" ht="16.05" customHeight="1" x14ac:dyDescent="0.25">
      <c r="B79" s="62" t="s">
        <v>371</v>
      </c>
      <c r="C79" s="62" t="s">
        <v>1953</v>
      </c>
    </row>
    <row r="80" spans="2:7" ht="16.05" customHeight="1" x14ac:dyDescent="0.25">
      <c r="B80" s="62" t="s">
        <v>373</v>
      </c>
      <c r="C80" s="62" t="s">
        <v>1954</v>
      </c>
    </row>
    <row r="81" spans="2:7" ht="16.05" customHeight="1" x14ac:dyDescent="0.25">
      <c r="B81" s="62" t="s">
        <v>375</v>
      </c>
      <c r="C81" s="62" t="s">
        <v>1955</v>
      </c>
    </row>
    <row r="82" spans="2:7" ht="16.05" customHeight="1" x14ac:dyDescent="0.25">
      <c r="B82" s="62" t="s">
        <v>1956</v>
      </c>
      <c r="C82" s="62" t="s">
        <v>1957</v>
      </c>
    </row>
    <row r="83" spans="2:7" ht="16.05" customHeight="1" x14ac:dyDescent="0.25"/>
    <row r="84" spans="2:7" ht="16.05" customHeight="1" x14ac:dyDescent="0.25">
      <c r="B84" s="148" t="s">
        <v>1958</v>
      </c>
      <c r="C84" s="148"/>
      <c r="D84" s="148"/>
      <c r="E84" s="148"/>
      <c r="F84" s="148"/>
      <c r="G84" s="148"/>
    </row>
    <row r="85" spans="2:7" ht="16.05" customHeight="1" x14ac:dyDescent="0.25">
      <c r="B85" s="58" t="s">
        <v>1959</v>
      </c>
    </row>
    <row r="86" spans="2:7" ht="16.05" customHeight="1" x14ac:dyDescent="0.25">
      <c r="B86" s="60" t="s">
        <v>4</v>
      </c>
      <c r="C86" s="60" t="s">
        <v>1960</v>
      </c>
      <c r="D86" s="60" t="s">
        <v>1712</v>
      </c>
      <c r="E86" s="60" t="s">
        <v>1961</v>
      </c>
    </row>
    <row r="87" spans="2:7" ht="16.05" customHeight="1" x14ac:dyDescent="0.25">
      <c r="B87" s="62" t="s">
        <v>1962</v>
      </c>
      <c r="C87" s="62" t="s">
        <v>1963</v>
      </c>
      <c r="D87" s="62" t="s">
        <v>1964</v>
      </c>
      <c r="E87" s="62" t="s">
        <v>1965</v>
      </c>
    </row>
    <row r="88" spans="2:7" ht="16.05" customHeight="1" x14ac:dyDescent="0.25">
      <c r="B88" s="62" t="s">
        <v>1966</v>
      </c>
      <c r="C88" s="62" t="s">
        <v>1967</v>
      </c>
      <c r="D88" s="62" t="s">
        <v>1968</v>
      </c>
      <c r="E88" s="62" t="s">
        <v>1969</v>
      </c>
    </row>
    <row r="89" spans="2:7" ht="16.05" customHeight="1" x14ac:dyDescent="0.25">
      <c r="B89" s="62" t="s">
        <v>1970</v>
      </c>
      <c r="C89" s="62" t="s">
        <v>1971</v>
      </c>
      <c r="D89" s="62" t="s">
        <v>1972</v>
      </c>
      <c r="E89" s="62" t="s">
        <v>1973</v>
      </c>
    </row>
    <row r="90" spans="2:7" ht="16.05" customHeight="1" x14ac:dyDescent="0.25">
      <c r="B90" s="62" t="s">
        <v>1974</v>
      </c>
      <c r="C90" s="62" t="s">
        <v>1975</v>
      </c>
      <c r="D90" s="62" t="s">
        <v>1976</v>
      </c>
      <c r="E90" s="62" t="s">
        <v>1977</v>
      </c>
    </row>
    <row r="91" spans="2:7" ht="16.05" customHeight="1" x14ac:dyDescent="0.25">
      <c r="B91" s="62" t="s">
        <v>1978</v>
      </c>
      <c r="C91" s="62" t="s">
        <v>1979</v>
      </c>
      <c r="D91" s="62" t="s">
        <v>1980</v>
      </c>
      <c r="E91" s="62" t="s">
        <v>1981</v>
      </c>
    </row>
    <row r="92" spans="2:7" ht="16.05" customHeight="1" x14ac:dyDescent="0.25">
      <c r="B92" s="62" t="s">
        <v>1982</v>
      </c>
      <c r="C92" s="62" t="s">
        <v>1983</v>
      </c>
      <c r="D92" s="62" t="s">
        <v>1984</v>
      </c>
      <c r="E92" s="62" t="s">
        <v>1985</v>
      </c>
    </row>
    <row r="93" spans="2:7" ht="16.05" customHeight="1" x14ac:dyDescent="0.25">
      <c r="B93" s="62" t="s">
        <v>1986</v>
      </c>
      <c r="C93" s="62" t="s">
        <v>1987</v>
      </c>
      <c r="D93" s="62" t="s">
        <v>1988</v>
      </c>
      <c r="E93" s="62" t="s">
        <v>1989</v>
      </c>
    </row>
    <row r="94" spans="2:7" ht="16.05" customHeight="1" x14ac:dyDescent="0.25">
      <c r="B94" s="62" t="s">
        <v>1990</v>
      </c>
      <c r="C94" s="62" t="s">
        <v>1991</v>
      </c>
      <c r="D94" s="62" t="s">
        <v>1992</v>
      </c>
      <c r="E94" s="62" t="s">
        <v>1993</v>
      </c>
    </row>
    <row r="95" spans="2:7" ht="16.05" customHeight="1" x14ac:dyDescent="0.25">
      <c r="B95" s="62" t="s">
        <v>1994</v>
      </c>
      <c r="C95" s="62" t="s">
        <v>1995</v>
      </c>
      <c r="D95" s="62" t="s">
        <v>1996</v>
      </c>
      <c r="E95" s="62" t="s">
        <v>1997</v>
      </c>
    </row>
    <row r="96" spans="2:7" ht="16.05" customHeight="1" x14ac:dyDescent="0.25"/>
    <row r="97" spans="2:2" ht="16.05" customHeight="1" x14ac:dyDescent="0.25">
      <c r="B97" s="58" t="s">
        <v>1998</v>
      </c>
    </row>
  </sheetData>
  <mergeCells count="6">
    <mergeCell ref="B84:G84"/>
    <mergeCell ref="B2:G2"/>
    <mergeCell ref="B7:G7"/>
    <mergeCell ref="B31:G31"/>
    <mergeCell ref="B64:G64"/>
    <mergeCell ref="B75:G75"/>
  </mergeCells>
  <pageMargins left="0.5" right="0.5" top="0.5" bottom="0.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F3864"/>
    <pageSetUpPr fitToPage="1"/>
  </sheetPr>
  <dimension ref="B2:K118"/>
  <sheetViews>
    <sheetView showGridLines="0" zoomScale="90" zoomScaleNormal="90" workbookViewId="0"/>
  </sheetViews>
  <sheetFormatPr defaultColWidth="8.6640625" defaultRowHeight="13.8" x14ac:dyDescent="0.25"/>
  <cols>
    <col min="1" max="1" width="8.6640625" style="1"/>
    <col min="2" max="2" width="34" style="1" customWidth="1"/>
    <col min="3" max="3" width="42" style="1" customWidth="1"/>
    <col min="4" max="4" width="20" style="1" customWidth="1"/>
    <col min="5" max="5" width="56" style="1" customWidth="1"/>
    <col min="6" max="6" width="26" style="1" customWidth="1"/>
    <col min="7" max="7" width="46" style="1" customWidth="1"/>
    <col min="8" max="8" width="30" style="1" customWidth="1"/>
    <col min="9" max="9" width="17" style="1" customWidth="1"/>
    <col min="10" max="10" width="16" style="1" customWidth="1"/>
    <col min="11" max="11" width="20" style="1" customWidth="1"/>
    <col min="12" max="16384" width="8.6640625" style="1"/>
  </cols>
  <sheetData>
    <row r="2" spans="2:6" ht="16.05" customHeight="1" x14ac:dyDescent="0.25">
      <c r="B2" s="148" t="s">
        <v>1999</v>
      </c>
      <c r="C2" s="148"/>
      <c r="D2" s="148"/>
      <c r="E2" s="148"/>
      <c r="F2" s="148"/>
    </row>
    <row r="3" spans="2:6" ht="16.05" customHeight="1" x14ac:dyDescent="0.25">
      <c r="B3" s="58" t="s">
        <v>2000</v>
      </c>
    </row>
    <row r="4" spans="2:6" ht="16.05" customHeight="1" x14ac:dyDescent="0.25"/>
    <row r="5" spans="2:6" ht="16.05" customHeight="1" x14ac:dyDescent="0.25">
      <c r="B5" s="148" t="s">
        <v>2001</v>
      </c>
      <c r="C5" s="148"/>
      <c r="D5" s="148"/>
      <c r="E5" s="148"/>
      <c r="F5" s="148"/>
    </row>
    <row r="6" spans="2:6" ht="16.05" customHeight="1" x14ac:dyDescent="0.25">
      <c r="B6" s="1" t="s">
        <v>2002</v>
      </c>
    </row>
    <row r="7" spans="2:6" ht="16.05" customHeight="1" x14ac:dyDescent="0.25">
      <c r="B7" s="60" t="s">
        <v>4</v>
      </c>
      <c r="C7" s="60" t="s">
        <v>2003</v>
      </c>
      <c r="D7" s="60" t="s">
        <v>2004</v>
      </c>
      <c r="E7" s="60" t="s">
        <v>2005</v>
      </c>
      <c r="F7" s="60" t="s">
        <v>80</v>
      </c>
    </row>
    <row r="8" spans="2:6" ht="16.05" customHeight="1" x14ac:dyDescent="0.25">
      <c r="B8" s="62" t="s">
        <v>2006</v>
      </c>
      <c r="C8" s="62" t="s">
        <v>2007</v>
      </c>
      <c r="D8" s="90">
        <f>'3. Workings'!$E$19</f>
        <v>1.23</v>
      </c>
      <c r="E8" s="90">
        <f>'3. Workings'!E19</f>
        <v>1.23</v>
      </c>
      <c r="F8" s="61" t="str">
        <f t="shared" ref="F8:F13" si="0">IF(ABS(D8-E8)&lt;=0.02,"TIE","CHECK")</f>
        <v>TIE</v>
      </c>
    </row>
    <row r="9" spans="2:6" ht="16.05" customHeight="1" x14ac:dyDescent="0.25">
      <c r="B9" s="62" t="s">
        <v>2008</v>
      </c>
      <c r="C9" s="62" t="s">
        <v>2009</v>
      </c>
      <c r="D9" s="90">
        <f>'3. Workings'!$E$21</f>
        <v>2.5500000000000003</v>
      </c>
      <c r="E9" s="90">
        <f>'3. Workings'!E21</f>
        <v>2.5500000000000003</v>
      </c>
      <c r="F9" s="61" t="str">
        <f t="shared" si="0"/>
        <v>TIE</v>
      </c>
    </row>
    <row r="10" spans="2:6" ht="16.05" customHeight="1" x14ac:dyDescent="0.25">
      <c r="B10" s="62" t="s">
        <v>2010</v>
      </c>
      <c r="C10" s="62" t="s">
        <v>2011</v>
      </c>
      <c r="D10" s="90">
        <f>'3. Workings'!$E$36</f>
        <v>47.210611701005661</v>
      </c>
      <c r="E10" s="90">
        <f>'3. Workings'!E36</f>
        <v>47.210611701005661</v>
      </c>
      <c r="F10" s="61" t="str">
        <f t="shared" si="0"/>
        <v>TIE</v>
      </c>
    </row>
    <row r="11" spans="2:6" ht="16.05" customHeight="1" x14ac:dyDescent="0.25">
      <c r="B11" s="62" t="s">
        <v>2012</v>
      </c>
      <c r="C11" s="62" t="s">
        <v>2013</v>
      </c>
      <c r="D11" s="90">
        <f>'3. Workings'!$E$71</f>
        <v>43.310005167280394</v>
      </c>
      <c r="E11" s="90">
        <f>'3. Workings'!E71</f>
        <v>43.310005167280394</v>
      </c>
      <c r="F11" s="61" t="str">
        <f t="shared" si="0"/>
        <v>TIE</v>
      </c>
    </row>
    <row r="12" spans="2:6" ht="16.05" customHeight="1" x14ac:dyDescent="0.25">
      <c r="B12" s="62" t="s">
        <v>2014</v>
      </c>
      <c r="C12" s="62" t="s">
        <v>2015</v>
      </c>
      <c r="D12" s="90">
        <f>'3. Workings'!$E$73</f>
        <v>9.8904698000000018</v>
      </c>
      <c r="E12" s="90">
        <f>'3. Workings'!E73</f>
        <v>9.8904698000000018</v>
      </c>
      <c r="F12" s="61" t="str">
        <f t="shared" si="0"/>
        <v>TIE</v>
      </c>
    </row>
    <row r="13" spans="2:6" ht="16.05" customHeight="1" x14ac:dyDescent="0.25">
      <c r="B13" s="62" t="s">
        <v>2016</v>
      </c>
      <c r="C13" s="62" t="s">
        <v>2017</v>
      </c>
      <c r="D13" s="90">
        <f>'3. Workings'!$E$74</f>
        <v>2.7403745887720188</v>
      </c>
      <c r="E13" s="90">
        <f>'3. Workings'!E74</f>
        <v>2.7403745887720188</v>
      </c>
      <c r="F13" s="61" t="str">
        <f t="shared" si="0"/>
        <v>TIE</v>
      </c>
    </row>
    <row r="14" spans="2:6" ht="16.05" customHeight="1" x14ac:dyDescent="0.25">
      <c r="B14" s="89" t="s">
        <v>2018</v>
      </c>
      <c r="C14" s="89" t="s">
        <v>1029</v>
      </c>
      <c r="D14" s="89" t="str">
        <f>IF(COUNTIF(F8:F13,"TIE")=6,"ALL SIX ANCHORS TIE  -  Part B is live against the current engine","LINK BROKEN  -  do not quote Part B")</f>
        <v>ALL SIX ANCHORS TIE  -  Part B is live against the current engine</v>
      </c>
    </row>
    <row r="15" spans="2:6" ht="16.05" customHeight="1" x14ac:dyDescent="0.25"/>
    <row r="16" spans="2:6" ht="16.05" customHeight="1" x14ac:dyDescent="0.25">
      <c r="B16" s="148" t="s">
        <v>2019</v>
      </c>
      <c r="C16" s="148"/>
      <c r="D16" s="148"/>
      <c r="E16" s="148"/>
      <c r="F16" s="148"/>
    </row>
    <row r="17" spans="2:11" ht="16.05" customHeight="1" x14ac:dyDescent="0.25">
      <c r="B17" s="1" t="s">
        <v>2020</v>
      </c>
    </row>
    <row r="18" spans="2:11" ht="16.05" customHeight="1" x14ac:dyDescent="0.25">
      <c r="B18" s="60" t="s">
        <v>148</v>
      </c>
      <c r="C18" s="60" t="s">
        <v>2021</v>
      </c>
      <c r="D18" s="60" t="s">
        <v>2022</v>
      </c>
      <c r="E18" s="60" t="s">
        <v>2023</v>
      </c>
      <c r="F18" s="60" t="s">
        <v>2024</v>
      </c>
      <c r="G18" s="60" t="s">
        <v>2025</v>
      </c>
      <c r="H18" s="60" t="s">
        <v>2026</v>
      </c>
      <c r="I18" s="60" t="s">
        <v>2027</v>
      </c>
      <c r="J18" s="60" t="s">
        <v>1381</v>
      </c>
      <c r="K18" s="60" t="s">
        <v>2028</v>
      </c>
    </row>
    <row r="19" spans="2:11" ht="16.05" customHeight="1" x14ac:dyDescent="0.25">
      <c r="B19" s="62" t="s">
        <v>2029</v>
      </c>
      <c r="C19" s="62" t="s">
        <v>2030</v>
      </c>
      <c r="D19" s="62" t="str">
        <f>0.55*100&amp;"% green"</f>
        <v>55% green</v>
      </c>
      <c r="E19" s="90">
        <f>(0.55*'1. Assumptions and Sources'!$D$28+((1-0.55)*'1. Assumptions and Sources'!$D$26/('1. Assumptions and Sources'!$D$26+'1. Assumptions and Sources'!$D$27))*'1. Assumptions and Sources'!$D$29+((1-0.55)*'1. Assumptions and Sources'!$D$27/('1. Assumptions and Sources'!$D$26+'1. Assumptions and Sources'!$D$27))*'1. Assumptions and Sources'!$D$30)</f>
        <v>1.5242857142857145</v>
      </c>
      <c r="F19" s="90">
        <f>0.55*'1. Assumptions and Sources'!$D$32+((1-0.55)*'1. Assumptions and Sources'!$D$26/('1. Assumptions and Sources'!$D$26+'1. Assumptions and Sources'!$D$27))*'1. Assumptions and Sources'!$D$33+((1-0.55)*'1. Assumptions and Sources'!$D$27/('1. Assumptions and Sources'!$D$26+'1. Assumptions and Sources'!$D$27))*'1. Assumptions and Sources'!$D$34</f>
        <v>2.8500000000000005</v>
      </c>
      <c r="G19" s="90">
        <f>(('3.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Workings'!$E$31+'3. Workings'!$E$32+'3. Workings'!$E$33)+'3. Workings'!$E$34+'3. Workings'!$E$35)-'3. Workings'!$E$65</f>
        <v>42.099133976203049</v>
      </c>
      <c r="H19" s="90">
        <f>'3. Workings'!$D$55</f>
        <v>9.8904698000000018</v>
      </c>
      <c r="I19" s="90">
        <v>17.064925457777498</v>
      </c>
      <c r="J19" s="90">
        <f>(('3. Workings'!$E$31+'3. Workings'!$E$32+'3. Workings'!$E$33)+('3.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Workings'!$E$35-'3. Workings'!$E$65)/'3. Workings'!$E$79</f>
        <v>2.509449469074418</v>
      </c>
      <c r="K19" s="90">
        <f t="shared" ref="K19:K24" si="1">G19-$G$20</f>
        <v>-1.2108711910773309</v>
      </c>
    </row>
    <row r="20" spans="2:11" ht="16.05" customHeight="1" x14ac:dyDescent="0.25">
      <c r="B20" s="61"/>
      <c r="C20" s="62" t="s">
        <v>2031</v>
      </c>
      <c r="D20" s="62" t="str">
        <f>TEXT('1. Assumptions and Sources'!$D$25,"0%")&amp;" green"</f>
        <v>65% green</v>
      </c>
      <c r="E20" s="90">
        <f>(0.65*'1. Assumptions and Sources'!$D$28+((1-0.65)*'1. Assumptions and Sources'!$D$26/('1. Assumptions and Sources'!$D$26+'1. Assumptions and Sources'!$D$27))*'1. Assumptions and Sources'!$D$29+((1-0.65)*'1. Assumptions and Sources'!$D$27/('1. Assumptions and Sources'!$D$26+'1. Assumptions and Sources'!$D$27))*'1. Assumptions and Sources'!$D$30)</f>
        <v>1.23</v>
      </c>
      <c r="F20" s="90">
        <f>0.65*'1. Assumptions and Sources'!$D$32+((1-0.65)*'1. Assumptions and Sources'!$D$26/('1. Assumptions and Sources'!$D$26+'1. Assumptions and Sources'!$D$27))*'1. Assumptions and Sources'!$D$33+((1-0.65)*'1. Assumptions and Sources'!$D$27/('1. Assumptions and Sources'!$D$26+'1. Assumptions and Sources'!$D$27))*'1. Assumptions and Sources'!$D$34</f>
        <v>2.5499999999999998</v>
      </c>
      <c r="G20" s="90">
        <f>(('3.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Workings'!$E$31+'3. Workings'!$E$32+'3. Workings'!$E$33)+'3. Workings'!$E$34+'3. Workings'!$E$35)-'3. Workings'!$E$65</f>
        <v>43.31000516728038</v>
      </c>
      <c r="H20" s="90">
        <f>'3. Workings'!$D$55</f>
        <v>9.8904698000000018</v>
      </c>
      <c r="I20" s="90">
        <v>16.842970651161298</v>
      </c>
      <c r="J20" s="90">
        <f>(('3. Workings'!$E$31+'3. Workings'!$E$32+'3. Workings'!$E$33)+('3.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Workings'!$E$35-'3. Workings'!$E$65)/'3. Workings'!$E$79</f>
        <v>2.5826285166934659</v>
      </c>
      <c r="K20" s="90">
        <f t="shared" si="1"/>
        <v>0</v>
      </c>
    </row>
    <row r="21" spans="2:11" ht="16.05" customHeight="1" x14ac:dyDescent="0.25">
      <c r="B21" s="61"/>
      <c r="C21" s="89" t="s">
        <v>2032</v>
      </c>
      <c r="D21" s="62" t="str">
        <f>0.78*100&amp;"% green"</f>
        <v>78% green</v>
      </c>
      <c r="E21" s="90">
        <f>(0.78*'1. Assumptions and Sources'!$D$28+((1-0.78)*'1. Assumptions and Sources'!$D$26/('1. Assumptions and Sources'!$D$26+'1. Assumptions and Sources'!$D$27))*'1. Assumptions and Sources'!$D$29+((1-0.78)*'1. Assumptions and Sources'!$D$27/('1. Assumptions and Sources'!$D$26+'1. Assumptions and Sources'!$D$27))*'1. Assumptions and Sources'!$D$30)</f>
        <v>0.84742857142857142</v>
      </c>
      <c r="F21" s="90">
        <f>0.78*'1. Assumptions and Sources'!$D$32+((1-0.78)*'1. Assumptions and Sources'!$D$26/('1. Assumptions and Sources'!$D$26+'1. Assumptions and Sources'!$D$27))*'1. Assumptions and Sources'!$D$33+((1-0.78)*'1. Assumptions and Sources'!$D$27/('1. Assumptions and Sources'!$D$26+'1. Assumptions and Sources'!$D$27))*'1. Assumptions and Sources'!$D$34</f>
        <v>2.16</v>
      </c>
      <c r="G21" s="90">
        <f>(('3.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Workings'!$E$31+'3. Workings'!$E$32+'3. Workings'!$E$33)+'3. Workings'!$E$34+'3. Workings'!$E$35)-'3. Workings'!$E$65</f>
        <v>44.884137715680922</v>
      </c>
      <c r="H21" s="90">
        <f>'3. Workings'!$D$55</f>
        <v>9.8904698000000018</v>
      </c>
      <c r="I21" s="90">
        <v>16.574460657893301</v>
      </c>
      <c r="J21" s="90">
        <f>(('3. Workings'!$E$31+'3. Workings'!$E$32+'3. Workings'!$E$33)+('3.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Workings'!$E$35-'3. Workings'!$E$65)/'3. Workings'!$E$79</f>
        <v>2.6777612785982279</v>
      </c>
      <c r="K21" s="90">
        <f t="shared" si="1"/>
        <v>1.5741325484005415</v>
      </c>
    </row>
    <row r="22" spans="2:11" ht="16.05" customHeight="1" x14ac:dyDescent="0.25">
      <c r="B22" s="62" t="s">
        <v>2033</v>
      </c>
      <c r="C22" s="62" t="s">
        <v>2034</v>
      </c>
      <c r="D22" s="62" t="str">
        <f>0.9*100&amp;"% detection"</f>
        <v>90% detection</v>
      </c>
      <c r="E22" s="90">
        <f>'3. Workings'!$E$19</f>
        <v>1.23</v>
      </c>
      <c r="F22" s="90">
        <f>'3. Workings'!$E$21</f>
        <v>2.5500000000000003</v>
      </c>
      <c r="G22" s="90">
        <f>('3. Workings'!$E$30+('3. Workings'!$E$31+'3. Workings'!$E$32+'3. Workings'!$E$33)*((1-(1-0.9)/(1-'1. Assumptions and Sources'!$D$35))/(1-(1-'1. Assumptions and Sources'!$D$36)/(1-'1. Assumptions and Sources'!$D$35)))+'3. Workings'!$E$34+'3. Workings'!$E$35)-'3. Workings'!$E$65</f>
        <v>43.31000516728038</v>
      </c>
      <c r="H22" s="90">
        <f>'3. Workings'!$D$55</f>
        <v>9.8904698000000018</v>
      </c>
      <c r="I22" s="90">
        <f>'1. Assumptions and Sources'!$D$49+IF((('3. Workings'!$E$30+('3. Workings'!$E$31+'3. Workings'!$E$32+'3. Workings'!$E$33)*((1-(1-0.9)/(1-'1. Assumptions and Sources'!$D$35))/(1-(1-'1. Assumptions and Sources'!$D$36)/(1-'1. Assumptions and Sources'!$D$35)))+'3. Workings'!$E$34+'3. Workings'!$E$35)*'1. Assumptions and Sources'!$D$46-'3. Workings'!$E$65)&gt;='3. Workings'!$D$55,'3. Workings'!$D$55/((('3. Workings'!$E$30+('3. Workings'!$E$31+'3. Workings'!$E$32+'3. Workings'!$E$33)*((1-(1-0.9)/(1-'1. Assumptions and Sources'!$D$35))/(1-(1-'1. Assumptions and Sources'!$D$36)/(1-'1. Assumptions and Sources'!$D$35)))+'3. Workings'!$E$34+'3. Workings'!$E$35)*'1. Assumptions and Sources'!$D$46-'3. Workings'!$E$65)/12),IF((('3.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Sources'!$D$12))&gt;='3. Workings'!$D$55,12+('3.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Sources'!$D$12)^2)&gt;='3. Workings'!$D$55,24+('3.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Sources'!$D$12)^2)/12),"beyond 3 years")))</f>
        <v>16.842970651161345</v>
      </c>
      <c r="J22" s="90">
        <f>(('3. Workings'!$E$31+'3. Workings'!$E$32+'3. Workings'!$E$33)*((1-(1-0.9)/(1-'1. Assumptions and Sources'!$D$35))/(1-(1-'1. Assumptions and Sources'!$D$36)/(1-'1. Assumptions and Sources'!$D$35)))+'3. Workings'!$E$30+'3. Workings'!$E$35-'3. Workings'!$E$65)/'3. Workings'!$E$79</f>
        <v>2.5826285166934659</v>
      </c>
      <c r="K22" s="90">
        <f t="shared" si="1"/>
        <v>0</v>
      </c>
    </row>
    <row r="23" spans="2:11" ht="16.05" customHeight="1" x14ac:dyDescent="0.25">
      <c r="B23" s="61"/>
      <c r="C23" s="62" t="s">
        <v>2035</v>
      </c>
      <c r="D23" s="62" t="str">
        <f>0.77*100&amp;"% detection"</f>
        <v>77% detection</v>
      </c>
      <c r="E23" s="90">
        <f>'3. Workings'!$E$19</f>
        <v>1.23</v>
      </c>
      <c r="F23" s="90">
        <f>'3. Workings'!$E$21</f>
        <v>2.5500000000000003</v>
      </c>
      <c r="G23" s="90">
        <f>('3. Workings'!$E$30+('3. Workings'!$E$31+'3. Workings'!$E$32+'3. Workings'!$E$33)*((1-(1-0.77)/(1-'1. Assumptions and Sources'!$D$35))/(1-(1-'1. Assumptions and Sources'!$D$36)/(1-'1. Assumptions and Sources'!$D$35)))+'3. Workings'!$E$34+'3. Workings'!$E$35)-'3. Workings'!$E$65</f>
        <v>32.405899720548277</v>
      </c>
      <c r="H23" s="90">
        <f>'3. Workings'!$D$55</f>
        <v>9.8904698000000018</v>
      </c>
      <c r="I23" s="90">
        <f>'1. Assumptions and Sources'!$D$49+IF((('3. Workings'!$E$30+('3. Workings'!$E$31+'3. Workings'!$E$32+'3. Workings'!$E$33)*((1-(1-0.77)/(1-'1. Assumptions and Sources'!$D$35))/(1-(1-'1. Assumptions and Sources'!$D$36)/(1-'1. Assumptions and Sources'!$D$35)))+'3. Workings'!$E$34+'3. Workings'!$E$35)*'1. Assumptions and Sources'!$D$46-'3. Workings'!$E$65)&gt;='3. Workings'!$D$55,'3. Workings'!$D$55/((('3. Workings'!$E$30+('3. Workings'!$E$31+'3. Workings'!$E$32+'3. Workings'!$E$33)*((1-(1-0.77)/(1-'1. Assumptions and Sources'!$D$35))/(1-(1-'1. Assumptions and Sources'!$D$36)/(1-'1. Assumptions and Sources'!$D$35)))+'3. Workings'!$E$34+'3. Workings'!$E$35)*'1. Assumptions and Sources'!$D$46-'3. Workings'!$E$65)/12),IF((('3.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Sources'!$D$12))&gt;='3. Workings'!$D$55,12+('3.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Sources'!$D$12)^2)&gt;='3. Workings'!$D$55,24+('3.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Sources'!$D$12)^2)/12),"beyond 3 years")))</f>
        <v>19.542700949938059</v>
      </c>
      <c r="J23" s="90">
        <f>(('3. Workings'!$E$31+'3. Workings'!$E$32+'3. Workings'!$E$33)*((1-(1-0.77)/(1-'1. Assumptions and Sources'!$D$35))/(1-(1-'1. Assumptions and Sources'!$D$36)/(1-'1. Assumptions and Sources'!$D$35)))+'3. Workings'!$E$30+'3. Workings'!$E$35-'3. Workings'!$E$65)/'3. Workings'!$E$79</f>
        <v>1.9236384790994807</v>
      </c>
      <c r="K23" s="90">
        <f t="shared" si="1"/>
        <v>-10.904105446732103</v>
      </c>
    </row>
    <row r="24" spans="2:11" ht="16.05" customHeight="1" x14ac:dyDescent="0.25">
      <c r="B24" s="61"/>
      <c r="C24" s="89" t="s">
        <v>2036</v>
      </c>
      <c r="D24" s="62" t="str">
        <f>0.62*100&amp;"% detection"</f>
        <v>62% detection</v>
      </c>
      <c r="E24" s="90">
        <f>'3. Workings'!$E$19</f>
        <v>1.23</v>
      </c>
      <c r="F24" s="90">
        <f>'3. Workings'!$E$21</f>
        <v>2.5500000000000003</v>
      </c>
      <c r="G24" s="90">
        <f>('3. Workings'!$E$30+('3. Workings'!$E$31+'3. Workings'!$E$32+'3. Workings'!$E$33)*((1-(1-0.62)/(1-'1. Assumptions and Sources'!$D$35))/(1-(1-'1. Assumptions and Sources'!$D$36)/(1-'1. Assumptions and Sources'!$D$35)))+'3. Workings'!$E$34+'3. Workings'!$E$35)-'3. Workings'!$E$65</f>
        <v>19.824239589703534</v>
      </c>
      <c r="H24" s="90">
        <f>'3. Workings'!$D$55</f>
        <v>9.8904698000000018</v>
      </c>
      <c r="I24" s="90">
        <f>'1. Assumptions and Sources'!$D$49+IF((('3. Workings'!$E$30+('3. Workings'!$E$31+'3. Workings'!$E$32+'3. Workings'!$E$33)*((1-(1-0.62)/(1-'1. Assumptions and Sources'!$D$35))/(1-(1-'1. Assumptions and Sources'!$D$36)/(1-'1. Assumptions and Sources'!$D$35)))+'3. Workings'!$E$34+'3. Workings'!$E$35)*'1. Assumptions and Sources'!$D$46-'3. Workings'!$E$65)&gt;='3. Workings'!$D$55,'3. Workings'!$D$55/((('3. Workings'!$E$30+('3. Workings'!$E$31+'3. Workings'!$E$32+'3. Workings'!$E$33)*((1-(1-0.62)/(1-'1. Assumptions and Sources'!$D$35))/(1-(1-'1. Assumptions and Sources'!$D$36)/(1-'1. Assumptions and Sources'!$D$35)))+'3. Workings'!$E$34+'3. Workings'!$E$35)*'1. Assumptions and Sources'!$D$46-'3. Workings'!$E$65)/12),IF((('3.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Sources'!$D$12))&gt;='3. Workings'!$D$55,12+('3.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Sources'!$D$12)^2)&gt;='3. Workings'!$D$55,24+('3.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Sources'!$D$12)^2)/12),"beyond 3 years")))</f>
        <v>23.918252175213059</v>
      </c>
      <c r="J24" s="90">
        <f>(('3. Workings'!$E$31+'3. Workings'!$E$32+'3. Workings'!$E$33)*((1-(1-0.62)/(1-'1. Assumptions and Sources'!$D$35))/(1-(1-'1. Assumptions and Sources'!$D$36)/(1-'1. Assumptions and Sources'!$D$35)))+'3. Workings'!$E$30+'3. Workings'!$E$35-'3. Workings'!$E$65)/'3. Workings'!$E$79</f>
        <v>1.1632653587987287</v>
      </c>
      <c r="K24" s="90">
        <f t="shared" si="1"/>
        <v>-23.485765577576846</v>
      </c>
    </row>
    <row r="25" spans="2:11" ht="16.05" customHeight="1" x14ac:dyDescent="0.25">
      <c r="B25" s="62" t="s">
        <v>2037</v>
      </c>
      <c r="C25" s="89" t="s">
        <v>2038</v>
      </c>
      <c r="D25" s="62" t="s">
        <v>1796</v>
      </c>
      <c r="E25" s="90"/>
      <c r="F25" s="90"/>
      <c r="G25" s="90"/>
      <c r="H25" s="90"/>
      <c r="I25" s="90"/>
      <c r="J25" s="90"/>
      <c r="K25" s="90"/>
    </row>
    <row r="26" spans="2:11" ht="16.05" customHeight="1" x14ac:dyDescent="0.25">
      <c r="B26" s="62" t="s">
        <v>2039</v>
      </c>
      <c r="C26" s="62" t="s">
        <v>2040</v>
      </c>
      <c r="D26" s="62" t="s">
        <v>2041</v>
      </c>
      <c r="E26" s="90">
        <f>'3. Workings'!$E$19</f>
        <v>1.23</v>
      </c>
      <c r="F26" s="90">
        <f>'3. Workings'!$E$21</f>
        <v>2.5500000000000003</v>
      </c>
      <c r="G26" s="90">
        <f>'3. Workings'!$E$71</f>
        <v>43.310005167280394</v>
      </c>
      <c r="H26" s="90">
        <f>'3. Workings'!$D$55</f>
        <v>9.8904698000000018</v>
      </c>
      <c r="I26"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6" s="90">
        <f>'3. Workings'!$E$82</f>
        <v>2.5826285166934659</v>
      </c>
      <c r="K26" s="90">
        <f t="shared" ref="K26:K31" si="2">G26-$G$20</f>
        <v>0</v>
      </c>
    </row>
    <row r="27" spans="2:11" ht="16.05" customHeight="1" x14ac:dyDescent="0.25">
      <c r="B27" s="61"/>
      <c r="C27" s="62" t="s">
        <v>2042</v>
      </c>
      <c r="D27" s="62" t="s">
        <v>2043</v>
      </c>
      <c r="E27" s="90">
        <f>'3. Workings'!$E$19</f>
        <v>1.23</v>
      </c>
      <c r="F27" s="90">
        <v>2.16</v>
      </c>
      <c r="G27" s="90">
        <f>'3. Workings'!$E$71</f>
        <v>43.310005167280394</v>
      </c>
      <c r="H27" s="90">
        <f>'3. Workings'!$D$55</f>
        <v>9.8904698000000018</v>
      </c>
      <c r="I27"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7" s="90">
        <f>'3. Workings'!$E$82</f>
        <v>2.5826285166934659</v>
      </c>
      <c r="K27" s="90">
        <f t="shared" si="2"/>
        <v>0</v>
      </c>
    </row>
    <row r="28" spans="2:11" ht="16.05" customHeight="1" x14ac:dyDescent="0.25">
      <c r="B28" s="61"/>
      <c r="C28" s="89" t="s">
        <v>2044</v>
      </c>
      <c r="D28" s="62" t="s">
        <v>2045</v>
      </c>
      <c r="E28" s="90">
        <f>'3. Workings'!$E$19</f>
        <v>1.23</v>
      </c>
      <c r="F28" s="90">
        <v>1.76</v>
      </c>
      <c r="G28" s="90">
        <f>'3. Workings'!$E$71</f>
        <v>43.310005167280394</v>
      </c>
      <c r="H28" s="90">
        <f>'3. Workings'!$D$55</f>
        <v>9.8904698000000018</v>
      </c>
      <c r="I28"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8" s="90">
        <f>'3. Workings'!$E$82</f>
        <v>2.5826285166934659</v>
      </c>
      <c r="K28" s="90">
        <f t="shared" si="2"/>
        <v>0</v>
      </c>
    </row>
    <row r="29" spans="2:11" ht="16.05" customHeight="1" x14ac:dyDescent="0.25">
      <c r="B29" s="62" t="s">
        <v>2046</v>
      </c>
      <c r="C29" s="62" t="s">
        <v>2047</v>
      </c>
      <c r="D29" s="62" t="s">
        <v>2048</v>
      </c>
      <c r="E29" s="90">
        <f>'3. Workings'!$E$19</f>
        <v>1.23</v>
      </c>
      <c r="F29" s="90">
        <f>'3. Workings'!$E$21</f>
        <v>2.5500000000000003</v>
      </c>
      <c r="G29" s="90">
        <f>'3. Workings'!$E$71</f>
        <v>43.310005167280394</v>
      </c>
      <c r="H29" s="90">
        <f>('3. Workings'!$D$55*(1+0))</f>
        <v>9.8904698000000018</v>
      </c>
      <c r="I29" s="90">
        <f>'1. Assumptions and Sources'!$D$49+IF(('3. Workings'!$E$36*'1. Assumptions and Sources'!$D$46-'3. Workings'!$E$65)&gt;=('3. Workings'!$D$55*(1+0)),('3. Workings'!$D$55*(1+0))/(('3. Workings'!$E$36*'1. Assumptions and Sources'!$D$46-'3. Workings'!$E$65)/12),IF(('3. Workings'!$E$36*'1. Assumptions and Sources'!$D$46-'3. Workings'!$E$65)+(('3. Workings'!$E$36*'1. Assumptions and Sources'!$D$47-'3. Workings'!$E$65)*(1+'1. Assumptions and Sources'!$D$12))&gt;=('3. Workings'!$D$55*(1+0)),12+(('3. Workings'!$D$55*(1+0))-('3.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Workings'!$D$55*(1+0)),24+(('3. Workings'!$D$55*(1+0))-('3. Workings'!$E$36*'1. Assumptions and Sources'!$D$46-'3. Workings'!$E$65)-(('3. Workings'!$E$36*'1. Assumptions and Sources'!$D$47-'3. Workings'!$E$65)*(1+'1. Assumptions and Sources'!$D$12)))/((('3. Workings'!$E$36*'1. Assumptions and Sources'!$D$48-'3. Workings'!$E$65)*(1+'1. Assumptions and Sources'!$D$12)^2)/12),"beyond 3 years")))</f>
        <v>16.842970651161341</v>
      </c>
      <c r="J29" s="90">
        <f>'3. Workings'!$E$82</f>
        <v>2.5826285166934659</v>
      </c>
      <c r="K29" s="90">
        <f t="shared" si="2"/>
        <v>0</v>
      </c>
    </row>
    <row r="30" spans="2:11" ht="16.05" customHeight="1" x14ac:dyDescent="0.25">
      <c r="B30" s="61"/>
      <c r="C30" s="62" t="s">
        <v>2049</v>
      </c>
      <c r="D30" s="62" t="s">
        <v>2050</v>
      </c>
      <c r="E30" s="90">
        <f>'3. Workings'!$E$19</f>
        <v>1.23</v>
      </c>
      <c r="F30" s="90">
        <f>'3. Workings'!$E$21</f>
        <v>2.5500000000000003</v>
      </c>
      <c r="G30" s="90">
        <f>'3. Workings'!$E$71</f>
        <v>43.310005167280394</v>
      </c>
      <c r="H30" s="90">
        <f>('3. Workings'!$D$55*(1+0.15))</f>
        <v>11.374040270000002</v>
      </c>
      <c r="I30" s="90">
        <f>'1. Assumptions and Sources'!$D$49+IF(('3. Workings'!$E$36*'1. Assumptions and Sources'!$D$46-'3. Workings'!$E$65)&gt;=('3. Workings'!$D$55*(1+0.15)),('3. Workings'!$D$55*(1+0.15))/(('3. Workings'!$E$36*'1. Assumptions and Sources'!$D$46-'3. Workings'!$E$65)/12),IF(('3. Workings'!$E$36*'1. Assumptions and Sources'!$D$46-'3. Workings'!$E$65)+(('3. Workings'!$E$36*'1. Assumptions and Sources'!$D$47-'3. Workings'!$E$65)*(1+'1. Assumptions and Sources'!$D$12))&gt;=('3. Workings'!$D$55*(1+0.15)),12+(('3. Workings'!$D$55*(1+0.15))-('3.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Workings'!$D$55*(1+0.15)),24+(('3. Workings'!$D$55*(1+0.15))-('3. Workings'!$E$36*'1. Assumptions and Sources'!$D$46-'3. Workings'!$E$65)-(('3. Workings'!$E$36*'1. Assumptions and Sources'!$D$47-'3. Workings'!$E$65)*(1+'1. Assumptions and Sources'!$D$12)))/((('3. Workings'!$E$36*'1. Assumptions and Sources'!$D$48-'3. Workings'!$E$65)*(1+'1. Assumptions and Sources'!$D$12)^2)/12),"beyond 3 years")))</f>
        <v>17.869416248835542</v>
      </c>
      <c r="J30" s="90">
        <f>'3. Workings'!$E$82</f>
        <v>2.5826285166934659</v>
      </c>
      <c r="K30" s="90">
        <f t="shared" si="2"/>
        <v>0</v>
      </c>
    </row>
    <row r="31" spans="2:11" ht="16.05" customHeight="1" x14ac:dyDescent="0.25">
      <c r="B31" s="61"/>
      <c r="C31" s="89" t="s">
        <v>2051</v>
      </c>
      <c r="D31" s="62" t="s">
        <v>2052</v>
      </c>
      <c r="E31" s="90">
        <f>'3. Workings'!$E$19</f>
        <v>1.23</v>
      </c>
      <c r="F31" s="90">
        <f>'3. Workings'!$E$21</f>
        <v>2.5500000000000003</v>
      </c>
      <c r="G31" s="90">
        <f>'3. Workings'!$E$71</f>
        <v>43.310005167280394</v>
      </c>
      <c r="H31" s="90">
        <f>('3. Workings'!$D$55*(1+0.2))</f>
        <v>11.868563760000002</v>
      </c>
      <c r="I31" s="90">
        <f>'1. Assumptions and Sources'!$D$49+IF(('3. Workings'!$E$36*'1. Assumptions and Sources'!$D$46-'3. Workings'!$E$65)&gt;=('3. Workings'!$D$55*(1+0.2)),('3. Workings'!$D$55*(1+0.2))/(('3. Workings'!$E$36*'1. Assumptions and Sources'!$D$46-'3. Workings'!$E$65)/12),IF(('3. Workings'!$E$36*'1. Assumptions and Sources'!$D$46-'3. Workings'!$E$65)+(('3. Workings'!$E$36*'1. Assumptions and Sources'!$D$47-'3. Workings'!$E$65)*(1+'1. Assumptions and Sources'!$D$12))&gt;=('3. Workings'!$D$55*(1+0.2)),12+(('3. Workings'!$D$55*(1+0.2))-('3.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Workings'!$D$55*(1+0.2)),24+(('3. Workings'!$D$55*(1+0.2))-('3. Workings'!$E$36*'1. Assumptions and Sources'!$D$46-'3. Workings'!$E$65)-(('3. Workings'!$E$36*'1. Assumptions and Sources'!$D$47-'3. Workings'!$E$65)*(1+'1. Assumptions and Sources'!$D$12)))/((('3. Workings'!$E$36*'1. Assumptions and Sources'!$D$48-'3. Workings'!$E$65)*(1+'1. Assumptions and Sources'!$D$12)^2)/12),"beyond 3 years")))</f>
        <v>18.211564781393609</v>
      </c>
      <c r="J31" s="90">
        <f>'3. Workings'!$E$82</f>
        <v>2.5826285166934659</v>
      </c>
      <c r="K31" s="90">
        <f t="shared" si="2"/>
        <v>0</v>
      </c>
    </row>
    <row r="32" spans="2:11" ht="16.05" customHeight="1" x14ac:dyDescent="0.25"/>
    <row r="33" spans="2:6" ht="16.05" customHeight="1" x14ac:dyDescent="0.25">
      <c r="B33" s="148" t="s">
        <v>2053</v>
      </c>
      <c r="C33" s="148"/>
      <c r="D33" s="148"/>
      <c r="E33" s="148"/>
      <c r="F33" s="148"/>
    </row>
    <row r="34" spans="2:6" ht="16.05" customHeight="1" x14ac:dyDescent="0.25"/>
    <row r="35" spans="2:6" ht="16.05" customHeight="1" x14ac:dyDescent="0.25">
      <c r="B35" s="60" t="s">
        <v>541</v>
      </c>
      <c r="C35" s="60" t="s">
        <v>24</v>
      </c>
      <c r="D35" s="60" t="s">
        <v>2054</v>
      </c>
    </row>
    <row r="36" spans="2:6" ht="16.05" customHeight="1" x14ac:dyDescent="0.25">
      <c r="B36" s="62" t="s">
        <v>2055</v>
      </c>
      <c r="C36" s="62" t="s">
        <v>2056</v>
      </c>
      <c r="D36" s="62" t="s">
        <v>2057</v>
      </c>
    </row>
    <row r="37" spans="2:6" ht="16.05" customHeight="1" x14ac:dyDescent="0.25">
      <c r="B37" s="62" t="s">
        <v>2058</v>
      </c>
      <c r="C37" s="62" t="s">
        <v>2059</v>
      </c>
      <c r="D37" s="62" t="s">
        <v>2060</v>
      </c>
    </row>
    <row r="38" spans="2:6" ht="16.05" customHeight="1" x14ac:dyDescent="0.25">
      <c r="B38" s="62" t="s">
        <v>2015</v>
      </c>
      <c r="C38" s="61">
        <v>9.89</v>
      </c>
      <c r="D38" s="61">
        <v>11.87</v>
      </c>
    </row>
    <row r="39" spans="2:6" ht="16.05" customHeight="1" x14ac:dyDescent="0.25"/>
    <row r="40" spans="2:6" ht="16.05" customHeight="1" x14ac:dyDescent="0.25">
      <c r="B40" s="89" t="s">
        <v>2061</v>
      </c>
      <c r="C40" s="90">
        <v>38.619999999999997</v>
      </c>
      <c r="D40" s="90">
        <v>15.95</v>
      </c>
    </row>
    <row r="41" spans="2:6" ht="16.05" customHeight="1" x14ac:dyDescent="0.25">
      <c r="B41" s="89" t="s">
        <v>2062</v>
      </c>
      <c r="C41" s="90">
        <v>3.07</v>
      </c>
      <c r="D41" s="90">
        <v>8.9</v>
      </c>
    </row>
    <row r="42" spans="2:6" ht="16.05" customHeight="1" x14ac:dyDescent="0.25">
      <c r="B42" s="89" t="s">
        <v>2063</v>
      </c>
      <c r="C42" s="90">
        <v>2.57</v>
      </c>
      <c r="D42" s="90">
        <v>1.04</v>
      </c>
    </row>
    <row r="43" spans="2:6" ht="16.05" customHeight="1" x14ac:dyDescent="0.25"/>
    <row r="44" spans="2:6" ht="16.05" customHeight="1" x14ac:dyDescent="0.25">
      <c r="B44" s="58" t="s">
        <v>2064</v>
      </c>
    </row>
    <row r="45" spans="2:6" ht="16.05" customHeight="1" x14ac:dyDescent="0.25"/>
    <row r="46" spans="2:6" ht="16.05" customHeight="1" x14ac:dyDescent="0.25">
      <c r="B46" s="148" t="s">
        <v>2065</v>
      </c>
      <c r="C46" s="148"/>
      <c r="D46" s="148"/>
      <c r="E46" s="148"/>
      <c r="F46" s="148"/>
    </row>
    <row r="47" spans="2:6" ht="16.05" customHeight="1" x14ac:dyDescent="0.25"/>
    <row r="48" spans="2:6" ht="16.05" customHeight="1" x14ac:dyDescent="0.25">
      <c r="B48" s="62" t="s">
        <v>2066</v>
      </c>
    </row>
    <row r="49" spans="2:8" ht="16.05" customHeight="1" x14ac:dyDescent="0.25">
      <c r="B49" s="62" t="s">
        <v>2067</v>
      </c>
    </row>
    <row r="50" spans="2:8" ht="16.05" customHeight="1" x14ac:dyDescent="0.25">
      <c r="B50" s="62" t="s">
        <v>2068</v>
      </c>
    </row>
    <row r="51" spans="2:8" ht="16.05" customHeight="1" x14ac:dyDescent="0.25">
      <c r="B51" s="62" t="s">
        <v>2069</v>
      </c>
    </row>
    <row r="52" spans="2:8" ht="16.05" customHeight="1" x14ac:dyDescent="0.25">
      <c r="B52" s="62" t="s">
        <v>2070</v>
      </c>
    </row>
    <row r="53" spans="2:8" ht="16.05" customHeight="1" x14ac:dyDescent="0.25"/>
    <row r="54" spans="2:8" ht="16.05" customHeight="1" x14ac:dyDescent="0.25">
      <c r="B54" s="58" t="s">
        <v>2071</v>
      </c>
    </row>
    <row r="55" spans="2:8" ht="16.05" customHeight="1" x14ac:dyDescent="0.25"/>
    <row r="56" spans="2:8" ht="16.05" customHeight="1" x14ac:dyDescent="0.25"/>
    <row r="57" spans="2:8" ht="16.05" customHeight="1" x14ac:dyDescent="0.25"/>
    <row r="58" spans="2:8" ht="16.05" customHeight="1" x14ac:dyDescent="0.25">
      <c r="B58" s="148" t="s">
        <v>2072</v>
      </c>
      <c r="C58" s="148"/>
      <c r="D58" s="148"/>
      <c r="E58" s="148"/>
      <c r="F58" s="148"/>
    </row>
    <row r="59" spans="2:8" ht="16.05" customHeight="1" x14ac:dyDescent="0.25">
      <c r="B59" s="58" t="s">
        <v>2073</v>
      </c>
    </row>
    <row r="60" spans="2:8" ht="16.05" customHeight="1" x14ac:dyDescent="0.25">
      <c r="B60" s="60" t="s">
        <v>2074</v>
      </c>
      <c r="C60" s="60" t="s">
        <v>148</v>
      </c>
      <c r="D60" s="60" t="s">
        <v>2075</v>
      </c>
      <c r="E60" s="60" t="s">
        <v>2076</v>
      </c>
      <c r="F60" s="60" t="s">
        <v>2077</v>
      </c>
      <c r="G60" s="60" t="s">
        <v>2078</v>
      </c>
      <c r="H60" s="60" t="s">
        <v>2079</v>
      </c>
    </row>
    <row r="61" spans="2:8" ht="16.05" customHeight="1" x14ac:dyDescent="0.25">
      <c r="B61" s="62" t="s">
        <v>2080</v>
      </c>
      <c r="C61" s="62" t="s">
        <v>2081</v>
      </c>
      <c r="D61" s="62" t="s">
        <v>2082</v>
      </c>
      <c r="E61" s="62" t="s">
        <v>2083</v>
      </c>
      <c r="F61" s="62" t="s">
        <v>2084</v>
      </c>
      <c r="G61" s="62" t="s">
        <v>2085</v>
      </c>
      <c r="H61" s="62" t="s">
        <v>2086</v>
      </c>
    </row>
    <row r="62" spans="2:8" ht="16.05" customHeight="1" x14ac:dyDescent="0.25">
      <c r="B62" s="62" t="s">
        <v>1842</v>
      </c>
      <c r="C62" s="62" t="s">
        <v>2087</v>
      </c>
      <c r="D62" s="62" t="s">
        <v>2082</v>
      </c>
      <c r="E62" s="62" t="s">
        <v>2088</v>
      </c>
      <c r="F62" s="62" t="s">
        <v>2084</v>
      </c>
      <c r="G62" s="62" t="s">
        <v>2089</v>
      </c>
      <c r="H62" s="62" t="s">
        <v>2086</v>
      </c>
    </row>
    <row r="63" spans="2:8" ht="16.05" customHeight="1" x14ac:dyDescent="0.25">
      <c r="B63" s="62" t="s">
        <v>1842</v>
      </c>
      <c r="C63" s="62" t="s">
        <v>2090</v>
      </c>
      <c r="D63" s="62" t="s">
        <v>2082</v>
      </c>
      <c r="E63" s="62" t="s">
        <v>2091</v>
      </c>
      <c r="F63" s="62" t="s">
        <v>2092</v>
      </c>
      <c r="G63" s="62" t="s">
        <v>2093</v>
      </c>
      <c r="H63" s="62" t="s">
        <v>2086</v>
      </c>
    </row>
    <row r="64" spans="2:8" ht="16.05" customHeight="1" x14ac:dyDescent="0.25">
      <c r="B64" s="62" t="s">
        <v>1842</v>
      </c>
      <c r="C64" s="62" t="s">
        <v>2094</v>
      </c>
      <c r="D64" s="62" t="s">
        <v>2082</v>
      </c>
      <c r="E64" s="62" t="s">
        <v>2095</v>
      </c>
      <c r="F64" s="62" t="s">
        <v>2084</v>
      </c>
      <c r="G64" s="62" t="s">
        <v>2096</v>
      </c>
      <c r="H64" s="62" t="s">
        <v>2086</v>
      </c>
    </row>
    <row r="65" spans="2:8" ht="16.05" customHeight="1" x14ac:dyDescent="0.25">
      <c r="B65" s="62" t="s">
        <v>1739</v>
      </c>
      <c r="C65" s="62" t="s">
        <v>2097</v>
      </c>
      <c r="D65" s="62" t="s">
        <v>2098</v>
      </c>
      <c r="E65" s="62" t="s">
        <v>2099</v>
      </c>
      <c r="F65" s="62" t="s">
        <v>2100</v>
      </c>
      <c r="G65" s="62" t="s">
        <v>2101</v>
      </c>
      <c r="H65" s="62" t="s">
        <v>2086</v>
      </c>
    </row>
    <row r="66" spans="2:8" ht="16.05" customHeight="1" x14ac:dyDescent="0.25">
      <c r="B66" s="62" t="s">
        <v>1739</v>
      </c>
      <c r="C66" s="62" t="s">
        <v>2102</v>
      </c>
      <c r="D66" s="62" t="s">
        <v>2098</v>
      </c>
      <c r="E66" s="62" t="s">
        <v>2103</v>
      </c>
      <c r="F66" s="62" t="s">
        <v>2100</v>
      </c>
      <c r="G66" s="62" t="s">
        <v>2104</v>
      </c>
      <c r="H66" s="62" t="s">
        <v>2105</v>
      </c>
    </row>
    <row r="67" spans="2:8" ht="16.05" customHeight="1" x14ac:dyDescent="0.25">
      <c r="B67" s="62" t="s">
        <v>1739</v>
      </c>
      <c r="C67" s="62" t="s">
        <v>2106</v>
      </c>
      <c r="D67" s="62" t="s">
        <v>2098</v>
      </c>
      <c r="E67" s="62" t="s">
        <v>2107</v>
      </c>
      <c r="F67" s="62" t="s">
        <v>2100</v>
      </c>
      <c r="G67" s="62" t="s">
        <v>2101</v>
      </c>
      <c r="H67" s="62" t="s">
        <v>2086</v>
      </c>
    </row>
    <row r="68" spans="2:8" ht="16.05" customHeight="1" x14ac:dyDescent="0.25">
      <c r="B68" s="62" t="s">
        <v>1739</v>
      </c>
      <c r="C68" s="62" t="s">
        <v>2108</v>
      </c>
      <c r="D68" s="62" t="s">
        <v>2098</v>
      </c>
      <c r="E68" s="62" t="s">
        <v>2109</v>
      </c>
      <c r="F68" s="62" t="s">
        <v>2100</v>
      </c>
      <c r="G68" s="62" t="s">
        <v>2110</v>
      </c>
      <c r="H68" s="62" t="s">
        <v>2111</v>
      </c>
    </row>
    <row r="69" spans="2:8" ht="16.05" customHeight="1" x14ac:dyDescent="0.25">
      <c r="B69" s="62" t="s">
        <v>1739</v>
      </c>
      <c r="C69" s="62" t="s">
        <v>2112</v>
      </c>
      <c r="D69" s="62" t="s">
        <v>2113</v>
      </c>
      <c r="E69" s="62" t="s">
        <v>2114</v>
      </c>
      <c r="F69" s="62" t="s">
        <v>2115</v>
      </c>
      <c r="G69" s="62" t="s">
        <v>2116</v>
      </c>
      <c r="H69" s="62" t="s">
        <v>2086</v>
      </c>
    </row>
    <row r="70" spans="2:8" ht="16.05" customHeight="1" x14ac:dyDescent="0.25">
      <c r="B70" s="62" t="s">
        <v>1739</v>
      </c>
      <c r="C70" s="62" t="s">
        <v>2117</v>
      </c>
      <c r="D70" s="62" t="s">
        <v>2113</v>
      </c>
      <c r="E70" s="62" t="s">
        <v>2118</v>
      </c>
      <c r="F70" s="62" t="s">
        <v>2115</v>
      </c>
      <c r="G70" s="62" t="s">
        <v>2101</v>
      </c>
      <c r="H70" s="62" t="s">
        <v>2086</v>
      </c>
    </row>
    <row r="71" spans="2:8" ht="16.05" customHeight="1" x14ac:dyDescent="0.25">
      <c r="B71" s="62" t="s">
        <v>1739</v>
      </c>
      <c r="C71" s="62" t="s">
        <v>2119</v>
      </c>
      <c r="D71" s="62" t="s">
        <v>2113</v>
      </c>
      <c r="E71" s="62" t="s">
        <v>2120</v>
      </c>
      <c r="F71" s="62" t="s">
        <v>2115</v>
      </c>
      <c r="G71" s="62" t="s">
        <v>2121</v>
      </c>
      <c r="H71" s="62" t="s">
        <v>2086</v>
      </c>
    </row>
    <row r="72" spans="2:8" ht="16.05" customHeight="1" x14ac:dyDescent="0.25">
      <c r="B72" s="62" t="s">
        <v>1739</v>
      </c>
      <c r="C72" s="62" t="s">
        <v>2122</v>
      </c>
      <c r="D72" s="62" t="s">
        <v>2113</v>
      </c>
      <c r="E72" s="62" t="s">
        <v>2123</v>
      </c>
      <c r="F72" s="62" t="s">
        <v>2115</v>
      </c>
      <c r="G72" s="62" t="s">
        <v>2124</v>
      </c>
      <c r="H72" s="62" t="s">
        <v>2086</v>
      </c>
    </row>
    <row r="73" spans="2:8" ht="16.05" customHeight="1" x14ac:dyDescent="0.25">
      <c r="B73" s="62" t="s">
        <v>1739</v>
      </c>
      <c r="C73" s="62" t="s">
        <v>2125</v>
      </c>
      <c r="D73" s="62" t="s">
        <v>2113</v>
      </c>
      <c r="E73" s="62" t="s">
        <v>2126</v>
      </c>
      <c r="F73" s="62" t="s">
        <v>2115</v>
      </c>
      <c r="G73" s="62" t="s">
        <v>2127</v>
      </c>
      <c r="H73" s="62" t="s">
        <v>2086</v>
      </c>
    </row>
    <row r="74" spans="2:8" ht="16.05" customHeight="1" x14ac:dyDescent="0.25">
      <c r="B74" s="62" t="s">
        <v>1739</v>
      </c>
      <c r="C74" s="62" t="s">
        <v>2128</v>
      </c>
      <c r="D74" s="62" t="s">
        <v>2113</v>
      </c>
      <c r="E74" s="62" t="s">
        <v>2129</v>
      </c>
      <c r="F74" s="62" t="s">
        <v>2115</v>
      </c>
      <c r="G74" s="62" t="s">
        <v>2130</v>
      </c>
      <c r="H74" s="62" t="s">
        <v>2086</v>
      </c>
    </row>
    <row r="75" spans="2:8" ht="16.05" customHeight="1" x14ac:dyDescent="0.25">
      <c r="B75" s="62" t="s">
        <v>1732</v>
      </c>
      <c r="C75" s="62" t="s">
        <v>2131</v>
      </c>
      <c r="D75" s="62" t="s">
        <v>2132</v>
      </c>
      <c r="E75" s="62" t="s">
        <v>2133</v>
      </c>
      <c r="F75" s="62" t="s">
        <v>2134</v>
      </c>
      <c r="G75" s="62" t="s">
        <v>2101</v>
      </c>
      <c r="H75" s="62" t="s">
        <v>2086</v>
      </c>
    </row>
    <row r="76" spans="2:8" ht="16.05" customHeight="1" x14ac:dyDescent="0.25">
      <c r="B76" s="62" t="s">
        <v>1732</v>
      </c>
      <c r="C76" s="62" t="s">
        <v>2135</v>
      </c>
      <c r="D76" s="62" t="s">
        <v>2132</v>
      </c>
      <c r="E76" s="62" t="s">
        <v>2136</v>
      </c>
      <c r="F76" s="62" t="s">
        <v>2137</v>
      </c>
      <c r="G76" s="62" t="s">
        <v>2138</v>
      </c>
      <c r="H76" s="62" t="s">
        <v>2086</v>
      </c>
    </row>
    <row r="77" spans="2:8" ht="16.05" customHeight="1" x14ac:dyDescent="0.25">
      <c r="B77" s="62" t="s">
        <v>1732</v>
      </c>
      <c r="C77" s="62" t="s">
        <v>2139</v>
      </c>
      <c r="D77" s="62" t="s">
        <v>2132</v>
      </c>
      <c r="E77" s="62" t="s">
        <v>2140</v>
      </c>
      <c r="F77" s="62" t="s">
        <v>2141</v>
      </c>
      <c r="G77" s="62" t="s">
        <v>2142</v>
      </c>
      <c r="H77" s="62" t="s">
        <v>2086</v>
      </c>
    </row>
    <row r="78" spans="2:8" ht="16.05" customHeight="1" x14ac:dyDescent="0.25">
      <c r="B78" s="62" t="s">
        <v>1732</v>
      </c>
      <c r="C78" s="62" t="s">
        <v>2143</v>
      </c>
      <c r="D78" s="62" t="s">
        <v>2132</v>
      </c>
      <c r="E78" s="62" t="s">
        <v>2144</v>
      </c>
      <c r="F78" s="62" t="s">
        <v>2141</v>
      </c>
      <c r="G78" s="62" t="s">
        <v>2145</v>
      </c>
      <c r="H78" s="62" t="s">
        <v>2086</v>
      </c>
    </row>
    <row r="79" spans="2:8" ht="16.05" customHeight="1" x14ac:dyDescent="0.25">
      <c r="B79" s="62" t="s">
        <v>1732</v>
      </c>
      <c r="C79" s="62" t="s">
        <v>2146</v>
      </c>
      <c r="D79" s="62" t="s">
        <v>2132</v>
      </c>
      <c r="E79" s="62" t="s">
        <v>2147</v>
      </c>
      <c r="F79" s="62" t="s">
        <v>2141</v>
      </c>
      <c r="G79" s="62" t="s">
        <v>2148</v>
      </c>
      <c r="H79" s="62" t="s">
        <v>2086</v>
      </c>
    </row>
    <row r="80" spans="2:8" ht="16.05" customHeight="1" x14ac:dyDescent="0.25">
      <c r="B80" s="62" t="s">
        <v>1732</v>
      </c>
      <c r="C80" s="62" t="s">
        <v>2149</v>
      </c>
      <c r="D80" s="62" t="s">
        <v>2150</v>
      </c>
      <c r="E80" s="62" t="s">
        <v>2151</v>
      </c>
      <c r="F80" s="62" t="s">
        <v>2054</v>
      </c>
      <c r="G80" s="62" t="s">
        <v>2152</v>
      </c>
      <c r="H80" s="62" t="s">
        <v>2086</v>
      </c>
    </row>
    <row r="81" spans="2:8" ht="16.05" customHeight="1" x14ac:dyDescent="0.25">
      <c r="B81" s="62" t="s">
        <v>2153</v>
      </c>
      <c r="C81" s="62" t="s">
        <v>2154</v>
      </c>
      <c r="D81" s="62" t="s">
        <v>2155</v>
      </c>
      <c r="E81" s="62" t="s">
        <v>2156</v>
      </c>
      <c r="F81" s="62" t="s">
        <v>2157</v>
      </c>
      <c r="G81" s="62" t="s">
        <v>2158</v>
      </c>
      <c r="H81" s="62" t="s">
        <v>2086</v>
      </c>
    </row>
    <row r="82" spans="2:8" ht="16.05" customHeight="1" x14ac:dyDescent="0.25">
      <c r="B82" s="62" t="s">
        <v>2153</v>
      </c>
      <c r="C82" s="62" t="s">
        <v>2159</v>
      </c>
      <c r="D82" s="62" t="s">
        <v>2155</v>
      </c>
      <c r="E82" s="62" t="s">
        <v>2160</v>
      </c>
      <c r="F82" s="62" t="s">
        <v>2161</v>
      </c>
      <c r="G82" s="62" t="s">
        <v>2162</v>
      </c>
      <c r="H82" s="62" t="s">
        <v>2163</v>
      </c>
    </row>
    <row r="83" spans="2:8" ht="16.05" customHeight="1" x14ac:dyDescent="0.25">
      <c r="B83" s="62" t="s">
        <v>2153</v>
      </c>
      <c r="C83" s="62" t="s">
        <v>2164</v>
      </c>
      <c r="D83" s="62" t="s">
        <v>2155</v>
      </c>
      <c r="E83" s="62" t="s">
        <v>2165</v>
      </c>
      <c r="F83" s="62" t="s">
        <v>2166</v>
      </c>
      <c r="G83" s="62" t="s">
        <v>2167</v>
      </c>
      <c r="H83" s="62" t="s">
        <v>2086</v>
      </c>
    </row>
    <row r="84" spans="2:8" ht="16.05" customHeight="1" x14ac:dyDescent="0.25">
      <c r="B84" s="62" t="s">
        <v>2153</v>
      </c>
      <c r="C84" s="62" t="s">
        <v>2168</v>
      </c>
      <c r="D84" s="62" t="s">
        <v>2155</v>
      </c>
      <c r="E84" s="62" t="s">
        <v>2169</v>
      </c>
      <c r="F84" s="62" t="s">
        <v>2170</v>
      </c>
      <c r="G84" s="62" t="s">
        <v>2158</v>
      </c>
      <c r="H84" s="62" t="s">
        <v>2086</v>
      </c>
    </row>
    <row r="85" spans="2:8" ht="16.05" customHeight="1" x14ac:dyDescent="0.25"/>
    <row r="86" spans="2:8" ht="16.05" customHeight="1" x14ac:dyDescent="0.25">
      <c r="B86" s="148" t="s">
        <v>2171</v>
      </c>
      <c r="C86" s="148"/>
      <c r="D86" s="148"/>
      <c r="E86" s="148"/>
      <c r="F86" s="148"/>
    </row>
    <row r="87" spans="2:8" ht="16.05" customHeight="1" x14ac:dyDescent="0.25">
      <c r="B87" s="58" t="s">
        <v>2172</v>
      </c>
    </row>
    <row r="88" spans="2:8" ht="16.05" customHeight="1" x14ac:dyDescent="0.25">
      <c r="B88" s="60" t="s">
        <v>2074</v>
      </c>
      <c r="C88" s="60" t="s">
        <v>2173</v>
      </c>
      <c r="D88" s="60" t="s">
        <v>2174</v>
      </c>
    </row>
    <row r="89" spans="2:8" ht="16.05" customHeight="1" x14ac:dyDescent="0.25">
      <c r="B89" s="62" t="s">
        <v>1842</v>
      </c>
      <c r="C89" s="62" t="s">
        <v>2175</v>
      </c>
      <c r="D89" s="62" t="s">
        <v>2176</v>
      </c>
    </row>
    <row r="90" spans="2:8" ht="16.05" customHeight="1" x14ac:dyDescent="0.25">
      <c r="B90" s="62" t="s">
        <v>1739</v>
      </c>
      <c r="C90" s="62" t="s">
        <v>2177</v>
      </c>
      <c r="D90" s="62" t="s">
        <v>2178</v>
      </c>
    </row>
    <row r="91" spans="2:8" ht="16.05" customHeight="1" x14ac:dyDescent="0.25">
      <c r="B91" s="62" t="s">
        <v>1732</v>
      </c>
      <c r="C91" s="62" t="s">
        <v>2179</v>
      </c>
      <c r="D91" s="62" t="s">
        <v>2180</v>
      </c>
    </row>
    <row r="92" spans="2:8" ht="16.05" customHeight="1" x14ac:dyDescent="0.25">
      <c r="B92" s="62" t="s">
        <v>2153</v>
      </c>
      <c r="C92" s="62" t="s">
        <v>2181</v>
      </c>
      <c r="D92" s="62" t="s">
        <v>2182</v>
      </c>
    </row>
    <row r="93" spans="2:8" ht="16.05" customHeight="1" x14ac:dyDescent="0.25"/>
    <row r="94" spans="2:8" ht="16.05" customHeight="1" x14ac:dyDescent="0.25">
      <c r="B94" s="58" t="s">
        <v>2183</v>
      </c>
    </row>
    <row r="95" spans="2:8" ht="16.05" customHeight="1" x14ac:dyDescent="0.25"/>
    <row r="96" spans="2:8" ht="16.05" customHeight="1" x14ac:dyDescent="0.25">
      <c r="B96" s="58" t="s">
        <v>2184</v>
      </c>
    </row>
    <row r="97" spans="2:6" ht="16.05" customHeight="1" x14ac:dyDescent="0.25"/>
    <row r="98" spans="2:6" ht="16.05" customHeight="1" x14ac:dyDescent="0.25">
      <c r="B98" s="58" t="s">
        <v>2185</v>
      </c>
    </row>
    <row r="99" spans="2:6" ht="16.05" customHeight="1" x14ac:dyDescent="0.25"/>
    <row r="100" spans="2:6" ht="16.05" customHeight="1" x14ac:dyDescent="0.25">
      <c r="B100" s="148" t="s">
        <v>2186</v>
      </c>
      <c r="C100" s="148"/>
      <c r="D100" s="148"/>
      <c r="E100" s="148"/>
      <c r="F100" s="148"/>
    </row>
    <row r="101" spans="2:6" ht="16.05" customHeight="1" x14ac:dyDescent="0.25">
      <c r="B101" s="58" t="s">
        <v>2187</v>
      </c>
    </row>
    <row r="102" spans="2:6" ht="16.05" customHeight="1" x14ac:dyDescent="0.25">
      <c r="B102" s="60" t="s">
        <v>1960</v>
      </c>
      <c r="C102" s="60" t="s">
        <v>2188</v>
      </c>
      <c r="D102" s="60" t="s">
        <v>2189</v>
      </c>
      <c r="E102" s="60" t="s">
        <v>2190</v>
      </c>
    </row>
    <row r="103" spans="2:6" ht="16.05" customHeight="1" x14ac:dyDescent="0.25">
      <c r="B103" s="62" t="s">
        <v>1120</v>
      </c>
      <c r="C103" s="62" t="s">
        <v>2191</v>
      </c>
      <c r="D103" s="62" t="s">
        <v>2192</v>
      </c>
      <c r="E103" s="62" t="s">
        <v>2193</v>
      </c>
    </row>
    <row r="104" spans="2:6" ht="16.05" customHeight="1" x14ac:dyDescent="0.25">
      <c r="B104" s="62" t="s">
        <v>1120</v>
      </c>
      <c r="C104" s="62" t="s">
        <v>2194</v>
      </c>
      <c r="D104" s="62" t="s">
        <v>2195</v>
      </c>
      <c r="E104" s="62" t="s">
        <v>2196</v>
      </c>
    </row>
    <row r="105" spans="2:6" ht="16.05" customHeight="1" x14ac:dyDescent="0.25">
      <c r="B105" s="62" t="s">
        <v>2197</v>
      </c>
      <c r="C105" s="62" t="s">
        <v>2191</v>
      </c>
      <c r="D105" s="62" t="s">
        <v>2198</v>
      </c>
      <c r="E105" s="62" t="s">
        <v>2199</v>
      </c>
    </row>
    <row r="106" spans="2:6" ht="16.05" customHeight="1" x14ac:dyDescent="0.25">
      <c r="B106" s="62" t="s">
        <v>2200</v>
      </c>
      <c r="C106" s="62" t="s">
        <v>2194</v>
      </c>
      <c r="D106" s="62" t="s">
        <v>2201</v>
      </c>
      <c r="E106" s="62" t="s">
        <v>2202</v>
      </c>
    </row>
    <row r="107" spans="2:6" ht="16.05" customHeight="1" x14ac:dyDescent="0.25">
      <c r="B107" s="62" t="s">
        <v>2203</v>
      </c>
      <c r="C107" s="62" t="s">
        <v>2191</v>
      </c>
      <c r="D107" s="62" t="s">
        <v>2204</v>
      </c>
      <c r="E107" s="62" t="s">
        <v>2205</v>
      </c>
    </row>
    <row r="108" spans="2:6" ht="16.05" customHeight="1" x14ac:dyDescent="0.25">
      <c r="B108" s="62" t="s">
        <v>2203</v>
      </c>
      <c r="C108" s="62" t="s">
        <v>2194</v>
      </c>
      <c r="D108" s="62" t="s">
        <v>2206</v>
      </c>
      <c r="E108" s="62" t="s">
        <v>2205</v>
      </c>
    </row>
    <row r="109" spans="2:6" ht="16.05" customHeight="1" x14ac:dyDescent="0.25">
      <c r="B109" s="62" t="s">
        <v>2207</v>
      </c>
      <c r="C109" s="62" t="s">
        <v>2208</v>
      </c>
      <c r="D109" s="62" t="s">
        <v>2209</v>
      </c>
      <c r="E109" s="62" t="s">
        <v>2210</v>
      </c>
    </row>
    <row r="110" spans="2:6" ht="16.05" customHeight="1" x14ac:dyDescent="0.25">
      <c r="B110" s="62" t="s">
        <v>2211</v>
      </c>
      <c r="C110" s="62" t="s">
        <v>2194</v>
      </c>
      <c r="D110" s="62" t="s">
        <v>2212</v>
      </c>
      <c r="E110" s="62" t="s">
        <v>2213</v>
      </c>
    </row>
    <row r="111" spans="2:6" ht="16.05" customHeight="1" x14ac:dyDescent="0.25">
      <c r="B111" s="62" t="s">
        <v>2214</v>
      </c>
      <c r="C111" s="62" t="s">
        <v>2215</v>
      </c>
      <c r="D111" s="62" t="s">
        <v>2216</v>
      </c>
      <c r="E111" s="62" t="s">
        <v>2217</v>
      </c>
    </row>
    <row r="112" spans="2:6" ht="16.05" customHeight="1" x14ac:dyDescent="0.25"/>
    <row r="113" spans="2:6" ht="16.05" customHeight="1" x14ac:dyDescent="0.25">
      <c r="B113" s="58" t="s">
        <v>2218</v>
      </c>
    </row>
    <row r="114" spans="2:6" ht="16.05" customHeight="1" x14ac:dyDescent="0.25"/>
    <row r="115" spans="2:6" ht="16.05" customHeight="1" x14ac:dyDescent="0.25">
      <c r="B115" s="148" t="s">
        <v>2219</v>
      </c>
      <c r="C115" s="148"/>
      <c r="D115" s="148"/>
      <c r="E115" s="148"/>
      <c r="F115" s="148"/>
    </row>
    <row r="116" spans="2:6" ht="16.05" customHeight="1" x14ac:dyDescent="0.25">
      <c r="B116" s="58" t="s">
        <v>2220</v>
      </c>
    </row>
    <row r="117" spans="2:6" ht="16.05" customHeight="1" x14ac:dyDescent="0.25">
      <c r="B117" s="58" t="s">
        <v>2221</v>
      </c>
    </row>
    <row r="118" spans="2:6" ht="16.05" customHeight="1" x14ac:dyDescent="0.25">
      <c r="B118" s="58" t="s">
        <v>2222</v>
      </c>
    </row>
  </sheetData>
  <mergeCells count="9">
    <mergeCell ref="B58:F58"/>
    <mergeCell ref="B86:F86"/>
    <mergeCell ref="B100:F100"/>
    <mergeCell ref="B115:F115"/>
    <mergeCell ref="B2:F2"/>
    <mergeCell ref="B16:F16"/>
    <mergeCell ref="B5:F5"/>
    <mergeCell ref="B33:F33"/>
    <mergeCell ref="B46:F46"/>
  </mergeCells>
  <pageMargins left="0.5" right="0.5" top="0.5" bottom="0.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1F3864"/>
    <pageSetUpPr fitToPage="1"/>
  </sheetPr>
  <dimension ref="B2:C217"/>
  <sheetViews>
    <sheetView showGridLines="0" zoomScale="90" zoomScaleNormal="90" workbookViewId="0"/>
  </sheetViews>
  <sheetFormatPr defaultColWidth="8.6640625" defaultRowHeight="13.8" x14ac:dyDescent="0.25"/>
  <cols>
    <col min="1" max="1" width="8.6640625" style="1"/>
    <col min="2" max="2" width="46" style="1" customWidth="1"/>
    <col min="3" max="3" width="150" style="1" customWidth="1"/>
    <col min="4" max="11" width="20" style="1" customWidth="1"/>
    <col min="12" max="16384" width="8.6640625" style="1"/>
  </cols>
  <sheetData>
    <row r="2" spans="2:3" ht="16.05" customHeight="1" x14ac:dyDescent="0.25">
      <c r="B2" s="148" t="s">
        <v>2223</v>
      </c>
      <c r="C2" s="148"/>
    </row>
    <row r="3" spans="2:3" ht="16.05" customHeight="1" x14ac:dyDescent="0.25">
      <c r="B3" s="58" t="s">
        <v>2224</v>
      </c>
    </row>
    <row r="4" spans="2:3" ht="16.05" customHeight="1" x14ac:dyDescent="0.25">
      <c r="B4" s="58" t="s">
        <v>2225</v>
      </c>
    </row>
    <row r="5" spans="2:3" ht="16.05" customHeight="1" x14ac:dyDescent="0.25">
      <c r="B5" s="58" t="s">
        <v>2226</v>
      </c>
    </row>
    <row r="6" spans="2:3" ht="16.05" customHeight="1" x14ac:dyDescent="0.25">
      <c r="B6" s="58" t="s">
        <v>2227</v>
      </c>
    </row>
    <row r="7" spans="2:3" ht="16.05" customHeight="1" x14ac:dyDescent="0.25"/>
    <row r="8" spans="2:3" ht="16.05" customHeight="1" x14ac:dyDescent="0.25">
      <c r="B8" s="148" t="s">
        <v>2228</v>
      </c>
      <c r="C8" s="148"/>
    </row>
    <row r="9" spans="2:3" ht="16.05" customHeight="1" x14ac:dyDescent="0.25">
      <c r="B9" s="58" t="s">
        <v>2229</v>
      </c>
    </row>
    <row r="10" spans="2:3" ht="16.05" customHeight="1" x14ac:dyDescent="0.25"/>
    <row r="11" spans="2:3" ht="16.05" customHeight="1" x14ac:dyDescent="0.25">
      <c r="B11" s="60" t="s">
        <v>2230</v>
      </c>
      <c r="C11" s="60" t="s">
        <v>2231</v>
      </c>
    </row>
    <row r="12" spans="2:3" ht="16.05" customHeight="1" x14ac:dyDescent="0.25">
      <c r="B12" s="62" t="s">
        <v>2232</v>
      </c>
      <c r="C12" s="62" t="s">
        <v>2233</v>
      </c>
    </row>
    <row r="13" spans="2:3" ht="16.05" customHeight="1" x14ac:dyDescent="0.25">
      <c r="B13" s="62" t="s">
        <v>2234</v>
      </c>
      <c r="C13" s="62" t="s">
        <v>2235</v>
      </c>
    </row>
    <row r="14" spans="2:3" ht="16.05" customHeight="1" x14ac:dyDescent="0.25">
      <c r="B14" s="62" t="s">
        <v>2236</v>
      </c>
      <c r="C14" s="62" t="s">
        <v>2237</v>
      </c>
    </row>
    <row r="15" spans="2:3" ht="16.05" customHeight="1" x14ac:dyDescent="0.25">
      <c r="B15" s="62" t="s">
        <v>2238</v>
      </c>
      <c r="C15" s="62" t="s">
        <v>2239</v>
      </c>
    </row>
    <row r="16" spans="2:3" ht="16.05" customHeight="1" x14ac:dyDescent="0.25">
      <c r="B16" s="62" t="s">
        <v>2240</v>
      </c>
      <c r="C16" s="62" t="s">
        <v>2241</v>
      </c>
    </row>
    <row r="17" spans="2:3" ht="16.05" customHeight="1" x14ac:dyDescent="0.25">
      <c r="B17" s="62" t="s">
        <v>2242</v>
      </c>
      <c r="C17" s="62" t="s">
        <v>2243</v>
      </c>
    </row>
    <row r="18" spans="2:3" ht="16.05" customHeight="1" x14ac:dyDescent="0.25">
      <c r="B18" s="62" t="s">
        <v>2244</v>
      </c>
      <c r="C18" s="62" t="s">
        <v>2245</v>
      </c>
    </row>
    <row r="19" spans="2:3" ht="16.05" customHeight="1" x14ac:dyDescent="0.25">
      <c r="B19" s="62" t="s">
        <v>2246</v>
      </c>
      <c r="C19" s="62" t="s">
        <v>2247</v>
      </c>
    </row>
    <row r="20" spans="2:3" ht="16.05" customHeight="1" x14ac:dyDescent="0.25">
      <c r="B20" s="62" t="s">
        <v>2248</v>
      </c>
      <c r="C20" s="62" t="s">
        <v>2249</v>
      </c>
    </row>
    <row r="21" spans="2:3" ht="16.05" customHeight="1" x14ac:dyDescent="0.25"/>
    <row r="22" spans="2:3" ht="16.05" customHeight="1" x14ac:dyDescent="0.25">
      <c r="B22" s="60" t="s">
        <v>2250</v>
      </c>
      <c r="C22" s="60" t="s">
        <v>2194</v>
      </c>
    </row>
    <row r="23" spans="2:3" ht="16.05" customHeight="1" x14ac:dyDescent="0.25">
      <c r="B23" s="62" t="s">
        <v>2232</v>
      </c>
      <c r="C23" s="62" t="s">
        <v>2251</v>
      </c>
    </row>
    <row r="24" spans="2:3" ht="16.05" customHeight="1" x14ac:dyDescent="0.25">
      <c r="B24" s="62" t="s">
        <v>2234</v>
      </c>
      <c r="C24" s="62" t="s">
        <v>2252</v>
      </c>
    </row>
    <row r="25" spans="2:3" ht="16.05" customHeight="1" x14ac:dyDescent="0.25">
      <c r="B25" s="62" t="s">
        <v>2236</v>
      </c>
      <c r="C25" s="62" t="s">
        <v>2253</v>
      </c>
    </row>
    <row r="26" spans="2:3" ht="16.05" customHeight="1" x14ac:dyDescent="0.25">
      <c r="B26" s="62" t="s">
        <v>2238</v>
      </c>
      <c r="C26" s="62" t="s">
        <v>2254</v>
      </c>
    </row>
    <row r="27" spans="2:3" ht="16.05" customHeight="1" x14ac:dyDescent="0.25">
      <c r="B27" s="62" t="s">
        <v>2240</v>
      </c>
      <c r="C27" s="62" t="s">
        <v>2255</v>
      </c>
    </row>
    <row r="28" spans="2:3" ht="16.05" customHeight="1" x14ac:dyDescent="0.25">
      <c r="B28" s="62" t="s">
        <v>2242</v>
      </c>
      <c r="C28" s="62" t="s">
        <v>2256</v>
      </c>
    </row>
    <row r="29" spans="2:3" ht="16.05" customHeight="1" x14ac:dyDescent="0.25">
      <c r="B29" s="62" t="s">
        <v>2244</v>
      </c>
      <c r="C29" s="62" t="s">
        <v>2257</v>
      </c>
    </row>
    <row r="30" spans="2:3" ht="16.05" customHeight="1" x14ac:dyDescent="0.25">
      <c r="B30" s="62" t="s">
        <v>2246</v>
      </c>
      <c r="C30" s="62" t="s">
        <v>2258</v>
      </c>
    </row>
    <row r="31" spans="2:3" ht="16.05" customHeight="1" x14ac:dyDescent="0.25">
      <c r="B31" s="62" t="s">
        <v>2248</v>
      </c>
      <c r="C31" s="62" t="s">
        <v>2259</v>
      </c>
    </row>
    <row r="32" spans="2:3" ht="16.05" customHeight="1" x14ac:dyDescent="0.25"/>
    <row r="33" spans="2:3" ht="16.05" customHeight="1" x14ac:dyDescent="0.25">
      <c r="B33" s="148" t="s">
        <v>2260</v>
      </c>
      <c r="C33" s="148"/>
    </row>
    <row r="34" spans="2:3" ht="16.05" customHeight="1" x14ac:dyDescent="0.25">
      <c r="B34" s="58" t="s">
        <v>2261</v>
      </c>
    </row>
    <row r="35" spans="2:3" ht="16.05" customHeight="1" x14ac:dyDescent="0.25"/>
    <row r="36" spans="2:3" ht="16.05" customHeight="1" x14ac:dyDescent="0.25">
      <c r="B36" s="60" t="s">
        <v>2262</v>
      </c>
      <c r="C36" s="60" t="s">
        <v>2231</v>
      </c>
    </row>
    <row r="37" spans="2:3" ht="16.05" customHeight="1" x14ac:dyDescent="0.25">
      <c r="B37" s="62" t="s">
        <v>2232</v>
      </c>
      <c r="C37" s="62" t="s">
        <v>2263</v>
      </c>
    </row>
    <row r="38" spans="2:3" ht="16.05" customHeight="1" x14ac:dyDescent="0.25">
      <c r="B38" s="62" t="s">
        <v>2234</v>
      </c>
      <c r="C38" s="62" t="s">
        <v>2264</v>
      </c>
    </row>
    <row r="39" spans="2:3" ht="16.05" customHeight="1" x14ac:dyDescent="0.25">
      <c r="B39" s="62" t="s">
        <v>2236</v>
      </c>
      <c r="C39" s="62" t="s">
        <v>2265</v>
      </c>
    </row>
    <row r="40" spans="2:3" ht="16.05" customHeight="1" x14ac:dyDescent="0.25">
      <c r="B40" s="62" t="s">
        <v>2238</v>
      </c>
      <c r="C40" s="62" t="s">
        <v>2266</v>
      </c>
    </row>
    <row r="41" spans="2:3" ht="16.05" customHeight="1" x14ac:dyDescent="0.25">
      <c r="B41" s="62" t="s">
        <v>2240</v>
      </c>
      <c r="C41" s="62" t="s">
        <v>2267</v>
      </c>
    </row>
    <row r="42" spans="2:3" ht="16.05" customHeight="1" x14ac:dyDescent="0.25">
      <c r="B42" s="62" t="s">
        <v>2242</v>
      </c>
      <c r="C42" s="62" t="s">
        <v>2268</v>
      </c>
    </row>
    <row r="43" spans="2:3" ht="16.05" customHeight="1" x14ac:dyDescent="0.25">
      <c r="B43" s="62" t="s">
        <v>2244</v>
      </c>
      <c r="C43" s="62" t="s">
        <v>2269</v>
      </c>
    </row>
    <row r="44" spans="2:3" ht="16.05" customHeight="1" x14ac:dyDescent="0.25">
      <c r="B44" s="62" t="s">
        <v>2246</v>
      </c>
      <c r="C44" s="62" t="s">
        <v>2270</v>
      </c>
    </row>
    <row r="45" spans="2:3" ht="16.05" customHeight="1" x14ac:dyDescent="0.25">
      <c r="B45" s="62" t="s">
        <v>2248</v>
      </c>
      <c r="C45" s="62" t="s">
        <v>2271</v>
      </c>
    </row>
    <row r="46" spans="2:3" ht="16.05" customHeight="1" x14ac:dyDescent="0.25"/>
    <row r="47" spans="2:3" ht="16.05" customHeight="1" x14ac:dyDescent="0.25">
      <c r="B47" s="60" t="s">
        <v>2272</v>
      </c>
      <c r="C47" s="60" t="s">
        <v>2273</v>
      </c>
    </row>
    <row r="48" spans="2:3" ht="16.05" customHeight="1" x14ac:dyDescent="0.25">
      <c r="B48" s="62" t="s">
        <v>2232</v>
      </c>
      <c r="C48" s="62" t="s">
        <v>2274</v>
      </c>
    </row>
    <row r="49" spans="2:3" ht="16.05" customHeight="1" x14ac:dyDescent="0.25">
      <c r="B49" s="62" t="s">
        <v>2234</v>
      </c>
      <c r="C49" s="62" t="s">
        <v>2275</v>
      </c>
    </row>
    <row r="50" spans="2:3" ht="16.05" customHeight="1" x14ac:dyDescent="0.25">
      <c r="B50" s="62" t="s">
        <v>2236</v>
      </c>
      <c r="C50" s="62" t="s">
        <v>2276</v>
      </c>
    </row>
    <row r="51" spans="2:3" ht="16.05" customHeight="1" x14ac:dyDescent="0.25">
      <c r="B51" s="62" t="s">
        <v>2238</v>
      </c>
      <c r="C51" s="62" t="s">
        <v>2277</v>
      </c>
    </row>
    <row r="52" spans="2:3" ht="16.05" customHeight="1" x14ac:dyDescent="0.25">
      <c r="B52" s="62" t="s">
        <v>2240</v>
      </c>
      <c r="C52" s="62" t="s">
        <v>2278</v>
      </c>
    </row>
    <row r="53" spans="2:3" ht="16.05" customHeight="1" x14ac:dyDescent="0.25">
      <c r="B53" s="62" t="s">
        <v>2242</v>
      </c>
      <c r="C53" s="62" t="s">
        <v>2279</v>
      </c>
    </row>
    <row r="54" spans="2:3" ht="16.05" customHeight="1" x14ac:dyDescent="0.25">
      <c r="B54" s="62" t="s">
        <v>2244</v>
      </c>
      <c r="C54" s="62" t="s">
        <v>2280</v>
      </c>
    </row>
    <row r="55" spans="2:3" ht="16.05" customHeight="1" x14ac:dyDescent="0.25">
      <c r="B55" s="62" t="s">
        <v>2246</v>
      </c>
      <c r="C55" s="62" t="s">
        <v>2281</v>
      </c>
    </row>
    <row r="56" spans="2:3" ht="16.05" customHeight="1" x14ac:dyDescent="0.25">
      <c r="B56" s="62" t="s">
        <v>2248</v>
      </c>
      <c r="C56" s="62" t="s">
        <v>2282</v>
      </c>
    </row>
    <row r="57" spans="2:3" ht="16.05" customHeight="1" x14ac:dyDescent="0.25"/>
    <row r="58" spans="2:3" ht="16.05" customHeight="1" x14ac:dyDescent="0.25">
      <c r="B58" s="60" t="s">
        <v>2283</v>
      </c>
      <c r="C58" s="60" t="s">
        <v>2194</v>
      </c>
    </row>
    <row r="59" spans="2:3" ht="16.05" customHeight="1" x14ac:dyDescent="0.25">
      <c r="B59" s="62" t="s">
        <v>2232</v>
      </c>
      <c r="C59" s="62" t="s">
        <v>2284</v>
      </c>
    </row>
    <row r="60" spans="2:3" ht="16.05" customHeight="1" x14ac:dyDescent="0.25">
      <c r="B60" s="62" t="s">
        <v>2234</v>
      </c>
      <c r="C60" s="62" t="s">
        <v>2285</v>
      </c>
    </row>
    <row r="61" spans="2:3" ht="16.05" customHeight="1" x14ac:dyDescent="0.25">
      <c r="B61" s="62" t="s">
        <v>2236</v>
      </c>
      <c r="C61" s="62" t="s">
        <v>2286</v>
      </c>
    </row>
    <row r="62" spans="2:3" ht="16.05" customHeight="1" x14ac:dyDescent="0.25">
      <c r="B62" s="62" t="s">
        <v>2238</v>
      </c>
      <c r="C62" s="62" t="s">
        <v>2287</v>
      </c>
    </row>
    <row r="63" spans="2:3" ht="16.05" customHeight="1" x14ac:dyDescent="0.25">
      <c r="B63" s="62" t="s">
        <v>2240</v>
      </c>
      <c r="C63" s="62" t="s">
        <v>2288</v>
      </c>
    </row>
    <row r="64" spans="2:3" ht="16.05" customHeight="1" x14ac:dyDescent="0.25">
      <c r="B64" s="62" t="s">
        <v>2242</v>
      </c>
      <c r="C64" s="62" t="s">
        <v>2289</v>
      </c>
    </row>
    <row r="65" spans="2:3" ht="16.05" customHeight="1" x14ac:dyDescent="0.25">
      <c r="B65" s="62" t="s">
        <v>2244</v>
      </c>
      <c r="C65" s="62" t="s">
        <v>2290</v>
      </c>
    </row>
    <row r="66" spans="2:3" ht="16.05" customHeight="1" x14ac:dyDescent="0.25">
      <c r="B66" s="62" t="s">
        <v>2246</v>
      </c>
      <c r="C66" s="62" t="s">
        <v>2291</v>
      </c>
    </row>
    <row r="67" spans="2:3" ht="16.05" customHeight="1" x14ac:dyDescent="0.25">
      <c r="B67" s="62" t="s">
        <v>2248</v>
      </c>
      <c r="C67" s="62" t="s">
        <v>2292</v>
      </c>
    </row>
    <row r="68" spans="2:3" ht="16.05" customHeight="1" x14ac:dyDescent="0.25"/>
    <row r="69" spans="2:3" ht="16.05" customHeight="1" x14ac:dyDescent="0.25">
      <c r="B69" s="148" t="s">
        <v>2293</v>
      </c>
      <c r="C69" s="148"/>
    </row>
    <row r="70" spans="2:3" ht="16.05" customHeight="1" x14ac:dyDescent="0.25">
      <c r="B70" s="58" t="s">
        <v>2294</v>
      </c>
    </row>
    <row r="71" spans="2:3" ht="16.05" customHeight="1" x14ac:dyDescent="0.25"/>
    <row r="72" spans="2:3" ht="16.05" customHeight="1" x14ac:dyDescent="0.25">
      <c r="B72" s="60" t="s">
        <v>2295</v>
      </c>
      <c r="C72" s="60" t="s">
        <v>2194</v>
      </c>
    </row>
    <row r="73" spans="2:3" ht="16.05" customHeight="1" x14ac:dyDescent="0.25">
      <c r="B73" s="62" t="s">
        <v>2232</v>
      </c>
      <c r="C73" s="62" t="s">
        <v>2296</v>
      </c>
    </row>
    <row r="74" spans="2:3" ht="16.05" customHeight="1" x14ac:dyDescent="0.25">
      <c r="B74" s="62" t="s">
        <v>2234</v>
      </c>
      <c r="C74" s="62" t="s">
        <v>2297</v>
      </c>
    </row>
    <row r="75" spans="2:3" ht="16.05" customHeight="1" x14ac:dyDescent="0.25">
      <c r="B75" s="62" t="s">
        <v>2236</v>
      </c>
      <c r="C75" s="62" t="s">
        <v>2298</v>
      </c>
    </row>
    <row r="76" spans="2:3" ht="16.05" customHeight="1" x14ac:dyDescent="0.25">
      <c r="B76" s="62" t="s">
        <v>2238</v>
      </c>
      <c r="C76" s="62" t="s">
        <v>2299</v>
      </c>
    </row>
    <row r="77" spans="2:3" ht="16.05" customHeight="1" x14ac:dyDescent="0.25">
      <c r="B77" s="62" t="s">
        <v>2240</v>
      </c>
      <c r="C77" s="62" t="s">
        <v>2300</v>
      </c>
    </row>
    <row r="78" spans="2:3" ht="16.05" customHeight="1" x14ac:dyDescent="0.25">
      <c r="B78" s="62" t="s">
        <v>2242</v>
      </c>
      <c r="C78" s="62" t="s">
        <v>2301</v>
      </c>
    </row>
    <row r="79" spans="2:3" ht="16.05" customHeight="1" x14ac:dyDescent="0.25">
      <c r="B79" s="62" t="s">
        <v>2244</v>
      </c>
      <c r="C79" s="62" t="s">
        <v>2302</v>
      </c>
    </row>
    <row r="80" spans="2:3" ht="16.05" customHeight="1" x14ac:dyDescent="0.25">
      <c r="B80" s="62" t="s">
        <v>2246</v>
      </c>
      <c r="C80" s="62" t="s">
        <v>2303</v>
      </c>
    </row>
    <row r="81" spans="2:3" ht="16.05" customHeight="1" x14ac:dyDescent="0.25">
      <c r="B81" s="62" t="s">
        <v>2248</v>
      </c>
      <c r="C81" s="62" t="s">
        <v>2304</v>
      </c>
    </row>
    <row r="82" spans="2:3" ht="16.05" customHeight="1" x14ac:dyDescent="0.25"/>
    <row r="83" spans="2:3" ht="16.05" customHeight="1" x14ac:dyDescent="0.25">
      <c r="B83" s="148" t="s">
        <v>2305</v>
      </c>
      <c r="C83" s="148"/>
    </row>
    <row r="84" spans="2:3" ht="16.05" customHeight="1" x14ac:dyDescent="0.25">
      <c r="B84" s="58" t="s">
        <v>2306</v>
      </c>
    </row>
    <row r="85" spans="2:3" ht="16.05" customHeight="1" x14ac:dyDescent="0.25"/>
    <row r="86" spans="2:3" ht="16.05" customHeight="1" x14ac:dyDescent="0.25">
      <c r="B86" s="60" t="s">
        <v>2307</v>
      </c>
      <c r="C86" s="60" t="s">
        <v>2231</v>
      </c>
    </row>
    <row r="87" spans="2:3" ht="16.05" customHeight="1" x14ac:dyDescent="0.25">
      <c r="B87" s="62" t="s">
        <v>2232</v>
      </c>
      <c r="C87" s="62" t="s">
        <v>2308</v>
      </c>
    </row>
    <row r="88" spans="2:3" ht="16.05" customHeight="1" x14ac:dyDescent="0.25">
      <c r="B88" s="62" t="s">
        <v>2234</v>
      </c>
      <c r="C88" s="62" t="s">
        <v>2309</v>
      </c>
    </row>
    <row r="89" spans="2:3" ht="16.05" customHeight="1" x14ac:dyDescent="0.25">
      <c r="B89" s="62" t="s">
        <v>2236</v>
      </c>
      <c r="C89" s="62" t="s">
        <v>2310</v>
      </c>
    </row>
    <row r="90" spans="2:3" ht="16.05" customHeight="1" x14ac:dyDescent="0.25">
      <c r="B90" s="62" t="s">
        <v>2238</v>
      </c>
      <c r="C90" s="62" t="s">
        <v>2311</v>
      </c>
    </row>
    <row r="91" spans="2:3" ht="16.05" customHeight="1" x14ac:dyDescent="0.25">
      <c r="B91" s="62" t="s">
        <v>2240</v>
      </c>
      <c r="C91" s="62" t="s">
        <v>2312</v>
      </c>
    </row>
    <row r="92" spans="2:3" ht="16.05" customHeight="1" x14ac:dyDescent="0.25">
      <c r="B92" s="62" t="s">
        <v>2242</v>
      </c>
      <c r="C92" s="62" t="s">
        <v>2313</v>
      </c>
    </row>
    <row r="93" spans="2:3" ht="16.05" customHeight="1" x14ac:dyDescent="0.25">
      <c r="B93" s="62" t="s">
        <v>2244</v>
      </c>
      <c r="C93" s="62" t="s">
        <v>2314</v>
      </c>
    </row>
    <row r="94" spans="2:3" ht="16.05" customHeight="1" x14ac:dyDescent="0.25">
      <c r="B94" s="62" t="s">
        <v>2246</v>
      </c>
      <c r="C94" s="62" t="s">
        <v>2315</v>
      </c>
    </row>
    <row r="95" spans="2:3" ht="16.05" customHeight="1" x14ac:dyDescent="0.25">
      <c r="B95" s="62" t="s">
        <v>2248</v>
      </c>
      <c r="C95" s="62" t="s">
        <v>2316</v>
      </c>
    </row>
    <row r="96" spans="2:3" ht="16.05" customHeight="1" x14ac:dyDescent="0.25"/>
    <row r="97" spans="2:3" ht="16.05" customHeight="1" x14ac:dyDescent="0.25">
      <c r="B97" s="60" t="s">
        <v>2317</v>
      </c>
      <c r="C97" s="60" t="s">
        <v>2318</v>
      </c>
    </row>
    <row r="98" spans="2:3" ht="16.05" customHeight="1" x14ac:dyDescent="0.25">
      <c r="B98" s="62" t="s">
        <v>2232</v>
      </c>
      <c r="C98" s="62" t="s">
        <v>2319</v>
      </c>
    </row>
    <row r="99" spans="2:3" ht="16.05" customHeight="1" x14ac:dyDescent="0.25">
      <c r="B99" s="62" t="s">
        <v>2234</v>
      </c>
      <c r="C99" s="62" t="s">
        <v>2320</v>
      </c>
    </row>
    <row r="100" spans="2:3" ht="16.05" customHeight="1" x14ac:dyDescent="0.25">
      <c r="B100" s="62" t="s">
        <v>2236</v>
      </c>
      <c r="C100" s="62" t="s">
        <v>2321</v>
      </c>
    </row>
    <row r="101" spans="2:3" ht="16.05" customHeight="1" x14ac:dyDescent="0.25">
      <c r="B101" s="62" t="s">
        <v>2238</v>
      </c>
      <c r="C101" s="62" t="s">
        <v>2322</v>
      </c>
    </row>
    <row r="102" spans="2:3" ht="16.05" customHeight="1" x14ac:dyDescent="0.25">
      <c r="B102" s="62" t="s">
        <v>2240</v>
      </c>
      <c r="C102" s="62" t="s">
        <v>2323</v>
      </c>
    </row>
    <row r="103" spans="2:3" ht="16.05" customHeight="1" x14ac:dyDescent="0.25">
      <c r="B103" s="62" t="s">
        <v>2242</v>
      </c>
      <c r="C103" s="62" t="s">
        <v>2324</v>
      </c>
    </row>
    <row r="104" spans="2:3" ht="16.05" customHeight="1" x14ac:dyDescent="0.25">
      <c r="B104" s="62" t="s">
        <v>2244</v>
      </c>
      <c r="C104" s="62" t="s">
        <v>2325</v>
      </c>
    </row>
    <row r="105" spans="2:3" ht="16.05" customHeight="1" x14ac:dyDescent="0.25">
      <c r="B105" s="62" t="s">
        <v>2246</v>
      </c>
      <c r="C105" s="62" t="s">
        <v>2326</v>
      </c>
    </row>
    <row r="106" spans="2:3" ht="16.05" customHeight="1" x14ac:dyDescent="0.25">
      <c r="B106" s="62" t="s">
        <v>2248</v>
      </c>
      <c r="C106" s="62" t="s">
        <v>2327</v>
      </c>
    </row>
    <row r="107" spans="2:3" ht="16.05" customHeight="1" x14ac:dyDescent="0.25"/>
    <row r="108" spans="2:3" ht="16.05" customHeight="1" x14ac:dyDescent="0.25">
      <c r="B108" s="60" t="s">
        <v>2328</v>
      </c>
      <c r="C108" s="60" t="s">
        <v>2194</v>
      </c>
    </row>
    <row r="109" spans="2:3" ht="16.05" customHeight="1" x14ac:dyDescent="0.25">
      <c r="B109" s="62" t="s">
        <v>2232</v>
      </c>
      <c r="C109" s="62" t="s">
        <v>2329</v>
      </c>
    </row>
    <row r="110" spans="2:3" ht="16.05" customHeight="1" x14ac:dyDescent="0.25">
      <c r="B110" s="62" t="s">
        <v>2234</v>
      </c>
      <c r="C110" s="62" t="s">
        <v>2330</v>
      </c>
    </row>
    <row r="111" spans="2:3" ht="16.05" customHeight="1" x14ac:dyDescent="0.25">
      <c r="B111" s="62" t="s">
        <v>2236</v>
      </c>
      <c r="C111" s="62" t="s">
        <v>2331</v>
      </c>
    </row>
    <row r="112" spans="2:3" ht="16.05" customHeight="1" x14ac:dyDescent="0.25">
      <c r="B112" s="62" t="s">
        <v>2238</v>
      </c>
      <c r="C112" s="62" t="s">
        <v>2332</v>
      </c>
    </row>
    <row r="113" spans="2:3" ht="16.05" customHeight="1" x14ac:dyDescent="0.25">
      <c r="B113" s="62" t="s">
        <v>2240</v>
      </c>
      <c r="C113" s="62" t="s">
        <v>2333</v>
      </c>
    </row>
    <row r="114" spans="2:3" ht="16.05" customHeight="1" x14ac:dyDescent="0.25">
      <c r="B114" s="62" t="s">
        <v>2242</v>
      </c>
      <c r="C114" s="62" t="s">
        <v>2334</v>
      </c>
    </row>
    <row r="115" spans="2:3" ht="16.05" customHeight="1" x14ac:dyDescent="0.25">
      <c r="B115" s="62" t="s">
        <v>2244</v>
      </c>
      <c r="C115" s="62" t="s">
        <v>2335</v>
      </c>
    </row>
    <row r="116" spans="2:3" ht="16.05" customHeight="1" x14ac:dyDescent="0.25">
      <c r="B116" s="62" t="s">
        <v>2246</v>
      </c>
      <c r="C116" s="62" t="s">
        <v>2336</v>
      </c>
    </row>
    <row r="117" spans="2:3" ht="16.05" customHeight="1" x14ac:dyDescent="0.25">
      <c r="B117" s="62" t="s">
        <v>2248</v>
      </c>
      <c r="C117" s="62" t="s">
        <v>2337</v>
      </c>
    </row>
    <row r="118" spans="2:3" ht="16.05" customHeight="1" x14ac:dyDescent="0.25"/>
    <row r="119" spans="2:3" ht="16.05" customHeight="1" x14ac:dyDescent="0.25">
      <c r="B119" s="60" t="s">
        <v>2338</v>
      </c>
      <c r="C119" s="60" t="s">
        <v>2273</v>
      </c>
    </row>
    <row r="120" spans="2:3" ht="16.05" customHeight="1" x14ac:dyDescent="0.25">
      <c r="B120" s="62" t="s">
        <v>2232</v>
      </c>
      <c r="C120" s="62" t="s">
        <v>2339</v>
      </c>
    </row>
    <row r="121" spans="2:3" ht="16.05" customHeight="1" x14ac:dyDescent="0.25">
      <c r="B121" s="62" t="s">
        <v>2234</v>
      </c>
      <c r="C121" s="62" t="s">
        <v>2340</v>
      </c>
    </row>
    <row r="122" spans="2:3" ht="16.05" customHeight="1" x14ac:dyDescent="0.25">
      <c r="B122" s="62" t="s">
        <v>2236</v>
      </c>
      <c r="C122" s="62" t="s">
        <v>2341</v>
      </c>
    </row>
    <row r="123" spans="2:3" ht="16.05" customHeight="1" x14ac:dyDescent="0.25">
      <c r="B123" s="62" t="s">
        <v>2238</v>
      </c>
      <c r="C123" s="62" t="s">
        <v>2342</v>
      </c>
    </row>
    <row r="124" spans="2:3" ht="16.05" customHeight="1" x14ac:dyDescent="0.25">
      <c r="B124" s="62" t="s">
        <v>2240</v>
      </c>
      <c r="C124" s="62" t="s">
        <v>2343</v>
      </c>
    </row>
    <row r="125" spans="2:3" ht="16.05" customHeight="1" x14ac:dyDescent="0.25">
      <c r="B125" s="62" t="s">
        <v>2242</v>
      </c>
      <c r="C125" s="62" t="s">
        <v>2344</v>
      </c>
    </row>
    <row r="126" spans="2:3" ht="16.05" customHeight="1" x14ac:dyDescent="0.25">
      <c r="B126" s="62" t="s">
        <v>2244</v>
      </c>
      <c r="C126" s="62" t="s">
        <v>2345</v>
      </c>
    </row>
    <row r="127" spans="2:3" ht="16.05" customHeight="1" x14ac:dyDescent="0.25">
      <c r="B127" s="62" t="s">
        <v>2246</v>
      </c>
      <c r="C127" s="62" t="s">
        <v>2346</v>
      </c>
    </row>
    <row r="128" spans="2:3" ht="16.05" customHeight="1" x14ac:dyDescent="0.25">
      <c r="B128" s="62" t="s">
        <v>2248</v>
      </c>
      <c r="C128" s="62" t="s">
        <v>2347</v>
      </c>
    </row>
    <row r="129" spans="2:3" ht="16.05" customHeight="1" x14ac:dyDescent="0.25"/>
    <row r="130" spans="2:3" ht="16.05" customHeight="1" x14ac:dyDescent="0.25">
      <c r="B130" s="148" t="s">
        <v>2348</v>
      </c>
      <c r="C130" s="148"/>
    </row>
    <row r="131" spans="2:3" ht="16.05" customHeight="1" x14ac:dyDescent="0.25">
      <c r="B131" s="58" t="s">
        <v>2349</v>
      </c>
    </row>
    <row r="132" spans="2:3" ht="16.05" customHeight="1" x14ac:dyDescent="0.25"/>
    <row r="133" spans="2:3" ht="16.05" customHeight="1" x14ac:dyDescent="0.25">
      <c r="B133" s="60" t="s">
        <v>2350</v>
      </c>
      <c r="C133" s="60" t="s">
        <v>2231</v>
      </c>
    </row>
    <row r="134" spans="2:3" ht="16.05" customHeight="1" x14ac:dyDescent="0.25">
      <c r="B134" s="62" t="s">
        <v>2232</v>
      </c>
      <c r="C134" s="62" t="s">
        <v>2351</v>
      </c>
    </row>
    <row r="135" spans="2:3" ht="16.05" customHeight="1" x14ac:dyDescent="0.25">
      <c r="B135" s="62" t="s">
        <v>2234</v>
      </c>
      <c r="C135" s="62" t="s">
        <v>2352</v>
      </c>
    </row>
    <row r="136" spans="2:3" ht="16.05" customHeight="1" x14ac:dyDescent="0.25">
      <c r="B136" s="62" t="s">
        <v>2236</v>
      </c>
      <c r="C136" s="62" t="s">
        <v>2353</v>
      </c>
    </row>
    <row r="137" spans="2:3" ht="16.05" customHeight="1" x14ac:dyDescent="0.25">
      <c r="B137" s="62" t="s">
        <v>2238</v>
      </c>
      <c r="C137" s="62" t="s">
        <v>2354</v>
      </c>
    </row>
    <row r="138" spans="2:3" ht="16.05" customHeight="1" x14ac:dyDescent="0.25">
      <c r="B138" s="62" t="s">
        <v>2240</v>
      </c>
      <c r="C138" s="62" t="s">
        <v>2355</v>
      </c>
    </row>
    <row r="139" spans="2:3" ht="16.05" customHeight="1" x14ac:dyDescent="0.25">
      <c r="B139" s="62" t="s">
        <v>2242</v>
      </c>
      <c r="C139" s="62" t="s">
        <v>2356</v>
      </c>
    </row>
    <row r="140" spans="2:3" ht="16.05" customHeight="1" x14ac:dyDescent="0.25">
      <c r="B140" s="62" t="s">
        <v>2244</v>
      </c>
      <c r="C140" s="62" t="s">
        <v>2357</v>
      </c>
    </row>
    <row r="141" spans="2:3" ht="16.05" customHeight="1" x14ac:dyDescent="0.25">
      <c r="B141" s="62" t="s">
        <v>2246</v>
      </c>
      <c r="C141" s="62" t="s">
        <v>2358</v>
      </c>
    </row>
    <row r="142" spans="2:3" ht="16.05" customHeight="1" x14ac:dyDescent="0.25">
      <c r="B142" s="62" t="s">
        <v>2248</v>
      </c>
      <c r="C142" s="62" t="s">
        <v>2359</v>
      </c>
    </row>
    <row r="143" spans="2:3" ht="16.05" customHeight="1" x14ac:dyDescent="0.25"/>
    <row r="144" spans="2:3" ht="16.05" customHeight="1" x14ac:dyDescent="0.25">
      <c r="B144" s="60" t="s">
        <v>2360</v>
      </c>
      <c r="C144" s="60" t="s">
        <v>2273</v>
      </c>
    </row>
    <row r="145" spans="2:3" ht="16.05" customHeight="1" x14ac:dyDescent="0.25">
      <c r="B145" s="62" t="s">
        <v>2232</v>
      </c>
      <c r="C145" s="62" t="s">
        <v>2361</v>
      </c>
    </row>
    <row r="146" spans="2:3" ht="16.05" customHeight="1" x14ac:dyDescent="0.25">
      <c r="B146" s="62" t="s">
        <v>2234</v>
      </c>
      <c r="C146" s="62" t="s">
        <v>2362</v>
      </c>
    </row>
    <row r="147" spans="2:3" ht="16.05" customHeight="1" x14ac:dyDescent="0.25">
      <c r="B147" s="62" t="s">
        <v>2236</v>
      </c>
      <c r="C147" s="62" t="s">
        <v>2363</v>
      </c>
    </row>
    <row r="148" spans="2:3" ht="16.05" customHeight="1" x14ac:dyDescent="0.25">
      <c r="B148" s="62" t="s">
        <v>2238</v>
      </c>
      <c r="C148" s="62" t="s">
        <v>2364</v>
      </c>
    </row>
    <row r="149" spans="2:3" ht="16.05" customHeight="1" x14ac:dyDescent="0.25">
      <c r="B149" s="62" t="s">
        <v>2240</v>
      </c>
      <c r="C149" s="62" t="s">
        <v>2365</v>
      </c>
    </row>
    <row r="150" spans="2:3" ht="16.05" customHeight="1" x14ac:dyDescent="0.25">
      <c r="B150" s="62" t="s">
        <v>2242</v>
      </c>
      <c r="C150" s="62" t="s">
        <v>2366</v>
      </c>
    </row>
    <row r="151" spans="2:3" ht="16.05" customHeight="1" x14ac:dyDescent="0.25">
      <c r="B151" s="62" t="s">
        <v>2244</v>
      </c>
      <c r="C151" s="62" t="s">
        <v>2367</v>
      </c>
    </row>
    <row r="152" spans="2:3" ht="16.05" customHeight="1" x14ac:dyDescent="0.25">
      <c r="B152" s="62" t="s">
        <v>2246</v>
      </c>
      <c r="C152" s="62" t="s">
        <v>2368</v>
      </c>
    </row>
    <row r="153" spans="2:3" ht="16.05" customHeight="1" x14ac:dyDescent="0.25">
      <c r="B153" s="62" t="s">
        <v>2248</v>
      </c>
      <c r="C153" s="62" t="s">
        <v>2369</v>
      </c>
    </row>
    <row r="154" spans="2:3" ht="16.05" customHeight="1" x14ac:dyDescent="0.25"/>
    <row r="155" spans="2:3" ht="16.05" customHeight="1" x14ac:dyDescent="0.25">
      <c r="B155" s="148" t="s">
        <v>2370</v>
      </c>
      <c r="C155" s="148"/>
    </row>
    <row r="156" spans="2:3" ht="16.05" customHeight="1" x14ac:dyDescent="0.25">
      <c r="B156" s="58" t="s">
        <v>2371</v>
      </c>
    </row>
    <row r="157" spans="2:3" ht="16.05" customHeight="1" x14ac:dyDescent="0.25"/>
    <row r="158" spans="2:3" ht="16.05" customHeight="1" x14ac:dyDescent="0.25">
      <c r="B158" s="60" t="s">
        <v>2372</v>
      </c>
      <c r="C158" s="60" t="s">
        <v>2318</v>
      </c>
    </row>
    <row r="159" spans="2:3" ht="16.05" customHeight="1" x14ac:dyDescent="0.25">
      <c r="B159" s="62" t="s">
        <v>2232</v>
      </c>
      <c r="C159" s="62" t="s">
        <v>2373</v>
      </c>
    </row>
    <row r="160" spans="2:3" ht="16.05" customHeight="1" x14ac:dyDescent="0.25">
      <c r="B160" s="62" t="s">
        <v>2234</v>
      </c>
      <c r="C160" s="62" t="s">
        <v>2374</v>
      </c>
    </row>
    <row r="161" spans="2:3" ht="16.05" customHeight="1" x14ac:dyDescent="0.25">
      <c r="B161" s="62" t="s">
        <v>2236</v>
      </c>
      <c r="C161" s="62" t="s">
        <v>2375</v>
      </c>
    </row>
    <row r="162" spans="2:3" ht="16.05" customHeight="1" x14ac:dyDescent="0.25">
      <c r="B162" s="62" t="s">
        <v>2238</v>
      </c>
      <c r="C162" s="62" t="s">
        <v>2376</v>
      </c>
    </row>
    <row r="163" spans="2:3" ht="16.05" customHeight="1" x14ac:dyDescent="0.25">
      <c r="B163" s="62" t="s">
        <v>2240</v>
      </c>
      <c r="C163" s="62" t="s">
        <v>2377</v>
      </c>
    </row>
    <row r="164" spans="2:3" ht="16.05" customHeight="1" x14ac:dyDescent="0.25">
      <c r="B164" s="62" t="s">
        <v>2242</v>
      </c>
      <c r="C164" s="62" t="s">
        <v>2378</v>
      </c>
    </row>
    <row r="165" spans="2:3" ht="16.05" customHeight="1" x14ac:dyDescent="0.25">
      <c r="B165" s="62" t="s">
        <v>2244</v>
      </c>
      <c r="C165" s="62" t="s">
        <v>2379</v>
      </c>
    </row>
    <row r="166" spans="2:3" ht="16.05" customHeight="1" x14ac:dyDescent="0.25">
      <c r="B166" s="62" t="s">
        <v>2246</v>
      </c>
      <c r="C166" s="62" t="s">
        <v>2380</v>
      </c>
    </row>
    <row r="167" spans="2:3" ht="16.05" customHeight="1" x14ac:dyDescent="0.25">
      <c r="B167" s="62" t="s">
        <v>2248</v>
      </c>
      <c r="C167" s="62" t="s">
        <v>2381</v>
      </c>
    </row>
    <row r="168" spans="2:3" ht="16.05" customHeight="1" x14ac:dyDescent="0.25"/>
    <row r="169" spans="2:3" ht="16.05" customHeight="1" x14ac:dyDescent="0.25">
      <c r="B169" s="148" t="s">
        <v>2382</v>
      </c>
      <c r="C169" s="148"/>
    </row>
    <row r="170" spans="2:3" ht="16.05" customHeight="1" x14ac:dyDescent="0.25">
      <c r="B170" s="58" t="s">
        <v>2383</v>
      </c>
    </row>
    <row r="171" spans="2:3" ht="16.05" customHeight="1" x14ac:dyDescent="0.25"/>
    <row r="172" spans="2:3" ht="16.05" customHeight="1" x14ac:dyDescent="0.25">
      <c r="B172" s="60" t="s">
        <v>2384</v>
      </c>
      <c r="C172" s="60" t="s">
        <v>2318</v>
      </c>
    </row>
    <row r="173" spans="2:3" ht="16.05" customHeight="1" x14ac:dyDescent="0.25">
      <c r="B173" s="62" t="s">
        <v>2232</v>
      </c>
      <c r="C173" s="62" t="s">
        <v>2385</v>
      </c>
    </row>
    <row r="174" spans="2:3" ht="16.05" customHeight="1" x14ac:dyDescent="0.25">
      <c r="B174" s="62" t="s">
        <v>2234</v>
      </c>
      <c r="C174" s="62" t="s">
        <v>2386</v>
      </c>
    </row>
    <row r="175" spans="2:3" ht="16.05" customHeight="1" x14ac:dyDescent="0.25">
      <c r="B175" s="62" t="s">
        <v>2236</v>
      </c>
      <c r="C175" s="62" t="s">
        <v>2387</v>
      </c>
    </row>
    <row r="176" spans="2:3" ht="16.05" customHeight="1" x14ac:dyDescent="0.25">
      <c r="B176" s="62" t="s">
        <v>2238</v>
      </c>
      <c r="C176" s="62" t="s">
        <v>2388</v>
      </c>
    </row>
    <row r="177" spans="2:3" ht="16.05" customHeight="1" x14ac:dyDescent="0.25">
      <c r="B177" s="62" t="s">
        <v>2240</v>
      </c>
      <c r="C177" s="62" t="s">
        <v>2389</v>
      </c>
    </row>
    <row r="178" spans="2:3" ht="16.05" customHeight="1" x14ac:dyDescent="0.25">
      <c r="B178" s="62" t="s">
        <v>2242</v>
      </c>
      <c r="C178" s="62" t="s">
        <v>2390</v>
      </c>
    </row>
    <row r="179" spans="2:3" ht="16.05" customHeight="1" x14ac:dyDescent="0.25">
      <c r="B179" s="62" t="s">
        <v>2244</v>
      </c>
      <c r="C179" s="62" t="s">
        <v>2391</v>
      </c>
    </row>
    <row r="180" spans="2:3" ht="16.05" customHeight="1" x14ac:dyDescent="0.25">
      <c r="B180" s="62" t="s">
        <v>2246</v>
      </c>
      <c r="C180" s="62" t="s">
        <v>2392</v>
      </c>
    </row>
    <row r="181" spans="2:3" ht="16.05" customHeight="1" x14ac:dyDescent="0.25">
      <c r="B181" s="62" t="s">
        <v>2248</v>
      </c>
      <c r="C181" s="62" t="s">
        <v>2393</v>
      </c>
    </row>
    <row r="182" spans="2:3" ht="16.05" customHeight="1" x14ac:dyDescent="0.25"/>
    <row r="183" spans="2:3" ht="16.05" customHeight="1" x14ac:dyDescent="0.25">
      <c r="B183" s="60" t="s">
        <v>2394</v>
      </c>
      <c r="C183" s="60" t="s">
        <v>2273</v>
      </c>
    </row>
    <row r="184" spans="2:3" ht="16.05" customHeight="1" x14ac:dyDescent="0.25">
      <c r="B184" s="62" t="s">
        <v>2232</v>
      </c>
      <c r="C184" s="62" t="s">
        <v>2395</v>
      </c>
    </row>
    <row r="185" spans="2:3" ht="16.05" customHeight="1" x14ac:dyDescent="0.25">
      <c r="B185" s="62" t="s">
        <v>2234</v>
      </c>
      <c r="C185" s="62" t="s">
        <v>2396</v>
      </c>
    </row>
    <row r="186" spans="2:3" ht="16.05" customHeight="1" x14ac:dyDescent="0.25">
      <c r="B186" s="62" t="s">
        <v>2236</v>
      </c>
      <c r="C186" s="62" t="s">
        <v>2397</v>
      </c>
    </row>
    <row r="187" spans="2:3" ht="16.05" customHeight="1" x14ac:dyDescent="0.25">
      <c r="B187" s="62" t="s">
        <v>2238</v>
      </c>
      <c r="C187" s="62" t="s">
        <v>2398</v>
      </c>
    </row>
    <row r="188" spans="2:3" ht="16.05" customHeight="1" x14ac:dyDescent="0.25">
      <c r="B188" s="62" t="s">
        <v>2240</v>
      </c>
      <c r="C188" s="62" t="s">
        <v>2399</v>
      </c>
    </row>
    <row r="189" spans="2:3" ht="16.05" customHeight="1" x14ac:dyDescent="0.25">
      <c r="B189" s="62" t="s">
        <v>2242</v>
      </c>
      <c r="C189" s="62" t="s">
        <v>2400</v>
      </c>
    </row>
    <row r="190" spans="2:3" ht="16.05" customHeight="1" x14ac:dyDescent="0.25">
      <c r="B190" s="62" t="s">
        <v>2244</v>
      </c>
      <c r="C190" s="62" t="s">
        <v>2401</v>
      </c>
    </row>
    <row r="191" spans="2:3" ht="16.05" customHeight="1" x14ac:dyDescent="0.25">
      <c r="B191" s="62" t="s">
        <v>2246</v>
      </c>
      <c r="C191" s="62" t="s">
        <v>2402</v>
      </c>
    </row>
    <row r="192" spans="2:3" ht="16.05" customHeight="1" x14ac:dyDescent="0.25">
      <c r="B192" s="62" t="s">
        <v>2248</v>
      </c>
      <c r="C192" s="62" t="s">
        <v>2403</v>
      </c>
    </row>
    <row r="193" spans="2:3" ht="16.05" customHeight="1" x14ac:dyDescent="0.25"/>
    <row r="194" spans="2:3" ht="16.05" customHeight="1" x14ac:dyDescent="0.25">
      <c r="B194" s="60" t="s">
        <v>2404</v>
      </c>
      <c r="C194" s="60" t="s">
        <v>2194</v>
      </c>
    </row>
    <row r="195" spans="2:3" ht="16.05" customHeight="1" x14ac:dyDescent="0.25">
      <c r="B195" s="62" t="s">
        <v>2232</v>
      </c>
      <c r="C195" s="62" t="s">
        <v>2405</v>
      </c>
    </row>
    <row r="196" spans="2:3" ht="16.05" customHeight="1" x14ac:dyDescent="0.25">
      <c r="B196" s="62" t="s">
        <v>2234</v>
      </c>
      <c r="C196" s="62" t="s">
        <v>2406</v>
      </c>
    </row>
    <row r="197" spans="2:3" ht="16.05" customHeight="1" x14ac:dyDescent="0.25">
      <c r="B197" s="62" t="s">
        <v>2236</v>
      </c>
      <c r="C197" s="62" t="s">
        <v>2407</v>
      </c>
    </row>
    <row r="198" spans="2:3" ht="16.05" customHeight="1" x14ac:dyDescent="0.25">
      <c r="B198" s="62" t="s">
        <v>2238</v>
      </c>
      <c r="C198" s="62" t="s">
        <v>2408</v>
      </c>
    </row>
    <row r="199" spans="2:3" ht="16.05" customHeight="1" x14ac:dyDescent="0.25">
      <c r="B199" s="62" t="s">
        <v>2240</v>
      </c>
      <c r="C199" s="62" t="s">
        <v>2409</v>
      </c>
    </row>
    <row r="200" spans="2:3" ht="16.05" customHeight="1" x14ac:dyDescent="0.25">
      <c r="B200" s="62" t="s">
        <v>2242</v>
      </c>
      <c r="C200" s="62" t="s">
        <v>2410</v>
      </c>
    </row>
    <row r="201" spans="2:3" ht="16.05" customHeight="1" x14ac:dyDescent="0.25">
      <c r="B201" s="62" t="s">
        <v>2244</v>
      </c>
      <c r="C201" s="62" t="s">
        <v>2411</v>
      </c>
    </row>
    <row r="202" spans="2:3" ht="16.05" customHeight="1" x14ac:dyDescent="0.25">
      <c r="B202" s="62" t="s">
        <v>2246</v>
      </c>
      <c r="C202" s="62" t="s">
        <v>2412</v>
      </c>
    </row>
    <row r="203" spans="2:3" ht="16.05" customHeight="1" x14ac:dyDescent="0.25">
      <c r="B203" s="62" t="s">
        <v>2248</v>
      </c>
      <c r="C203" s="62" t="s">
        <v>2413</v>
      </c>
    </row>
    <row r="204" spans="2:3" ht="16.05" customHeight="1" x14ac:dyDescent="0.25"/>
    <row r="205" spans="2:3" ht="16.05" customHeight="1" x14ac:dyDescent="0.25">
      <c r="B205" s="148" t="s">
        <v>2414</v>
      </c>
      <c r="C205" s="148"/>
    </row>
    <row r="206" spans="2:3" ht="16.05" customHeight="1" x14ac:dyDescent="0.25">
      <c r="B206" s="58" t="s">
        <v>2415</v>
      </c>
    </row>
    <row r="207" spans="2:3" ht="16.05" customHeight="1" x14ac:dyDescent="0.25"/>
    <row r="208" spans="2:3" ht="16.05" customHeight="1" x14ac:dyDescent="0.25">
      <c r="B208" s="60" t="s">
        <v>2416</v>
      </c>
      <c r="C208" s="60" t="s">
        <v>2318</v>
      </c>
    </row>
    <row r="209" spans="2:3" ht="16.05" customHeight="1" x14ac:dyDescent="0.25">
      <c r="B209" s="62" t="s">
        <v>2232</v>
      </c>
      <c r="C209" s="62" t="s">
        <v>2417</v>
      </c>
    </row>
    <row r="210" spans="2:3" ht="16.05" customHeight="1" x14ac:dyDescent="0.25">
      <c r="B210" s="62" t="s">
        <v>2234</v>
      </c>
      <c r="C210" s="62" t="s">
        <v>2418</v>
      </c>
    </row>
    <row r="211" spans="2:3" ht="16.05" customHeight="1" x14ac:dyDescent="0.25">
      <c r="B211" s="62" t="s">
        <v>2236</v>
      </c>
      <c r="C211" s="62" t="s">
        <v>2419</v>
      </c>
    </row>
    <row r="212" spans="2:3" ht="16.05" customHeight="1" x14ac:dyDescent="0.25">
      <c r="B212" s="62" t="s">
        <v>2238</v>
      </c>
      <c r="C212" s="62" t="s">
        <v>2420</v>
      </c>
    </row>
    <row r="213" spans="2:3" ht="16.05" customHeight="1" x14ac:dyDescent="0.25">
      <c r="B213" s="62" t="s">
        <v>2240</v>
      </c>
      <c r="C213" s="62" t="s">
        <v>2421</v>
      </c>
    </row>
    <row r="214" spans="2:3" ht="16.05" customHeight="1" x14ac:dyDescent="0.25">
      <c r="B214" s="62" t="s">
        <v>2242</v>
      </c>
      <c r="C214" s="62" t="s">
        <v>2422</v>
      </c>
    </row>
    <row r="215" spans="2:3" ht="16.05" customHeight="1" x14ac:dyDescent="0.25">
      <c r="B215" s="62" t="s">
        <v>2244</v>
      </c>
      <c r="C215" s="62" t="s">
        <v>2423</v>
      </c>
    </row>
    <row r="216" spans="2:3" ht="16.05" customHeight="1" x14ac:dyDescent="0.25">
      <c r="B216" s="62" t="s">
        <v>2246</v>
      </c>
      <c r="C216" s="62" t="s">
        <v>2424</v>
      </c>
    </row>
    <row r="217" spans="2:3" ht="16.05" customHeight="1" x14ac:dyDescent="0.25">
      <c r="B217" s="62" t="s">
        <v>2248</v>
      </c>
      <c r="C217" s="62" t="s">
        <v>2425</v>
      </c>
    </row>
  </sheetData>
  <mergeCells count="9">
    <mergeCell ref="B155:C155"/>
    <mergeCell ref="B169:C169"/>
    <mergeCell ref="B205:C205"/>
    <mergeCell ref="B2:C2"/>
    <mergeCell ref="B8:C8"/>
    <mergeCell ref="B33:C33"/>
    <mergeCell ref="B69:C69"/>
    <mergeCell ref="B83:C83"/>
    <mergeCell ref="B130:C130"/>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1F3864"/>
    <pageSetUpPr fitToPage="1"/>
  </sheetPr>
  <dimension ref="B2:F68"/>
  <sheetViews>
    <sheetView showGridLines="0" zoomScale="90" zoomScaleNormal="90" workbookViewId="0"/>
  </sheetViews>
  <sheetFormatPr defaultColWidth="8.6640625" defaultRowHeight="13.8" x14ac:dyDescent="0.25"/>
  <cols>
    <col min="1" max="1" width="8.6640625" style="1"/>
    <col min="2" max="2" width="12" style="1" customWidth="1"/>
    <col min="3" max="3" width="36" style="1" customWidth="1"/>
    <col min="4" max="4" width="78" style="1" customWidth="1"/>
    <col min="5" max="5" width="52" style="1" customWidth="1"/>
    <col min="6" max="6" width="26" style="1" customWidth="1"/>
    <col min="7" max="11" width="20" style="1" customWidth="1"/>
    <col min="12" max="16384" width="8.6640625" style="1"/>
  </cols>
  <sheetData>
    <row r="2" spans="2:6" ht="16.05" customHeight="1" x14ac:dyDescent="0.25">
      <c r="B2" s="148" t="s">
        <v>2426</v>
      </c>
      <c r="C2" s="148"/>
      <c r="D2" s="148"/>
      <c r="E2" s="148"/>
      <c r="F2" s="148"/>
    </row>
    <row r="3" spans="2:6" ht="16.05" customHeight="1" x14ac:dyDescent="0.25">
      <c r="B3" s="58" t="s">
        <v>2427</v>
      </c>
    </row>
    <row r="4" spans="2:6" ht="16.05" customHeight="1" x14ac:dyDescent="0.25">
      <c r="B4" s="58" t="s">
        <v>2428</v>
      </c>
    </row>
    <row r="5" spans="2:6" ht="16.05" customHeight="1" x14ac:dyDescent="0.25">
      <c r="B5" s="58" t="s">
        <v>2429</v>
      </c>
    </row>
    <row r="6" spans="2:6" ht="16.05" customHeight="1" x14ac:dyDescent="0.25">
      <c r="B6" s="58" t="s">
        <v>2430</v>
      </c>
    </row>
    <row r="7" spans="2:6" ht="16.05" customHeight="1" x14ac:dyDescent="0.25"/>
    <row r="8" spans="2:6" ht="16.05" customHeight="1" x14ac:dyDescent="0.25">
      <c r="B8" s="148" t="s">
        <v>2431</v>
      </c>
      <c r="C8" s="148"/>
      <c r="D8" s="148"/>
      <c r="E8" s="148"/>
      <c r="F8" s="148"/>
    </row>
    <row r="9" spans="2:6" ht="16.05" customHeight="1" x14ac:dyDescent="0.25">
      <c r="B9" s="60" t="s">
        <v>4</v>
      </c>
      <c r="C9" s="60" t="s">
        <v>2432</v>
      </c>
      <c r="D9" s="60" t="s">
        <v>2433</v>
      </c>
      <c r="E9" s="60" t="s">
        <v>2434</v>
      </c>
      <c r="F9" s="60" t="s">
        <v>2435</v>
      </c>
    </row>
    <row r="10" spans="2:6" ht="16.05" customHeight="1" x14ac:dyDescent="0.25">
      <c r="B10" s="62" t="s">
        <v>2436</v>
      </c>
      <c r="C10" s="62" t="s">
        <v>2437</v>
      </c>
      <c r="D10" s="62" t="s">
        <v>2438</v>
      </c>
      <c r="E10" s="62" t="s">
        <v>2439</v>
      </c>
      <c r="F10" s="62" t="s">
        <v>2440</v>
      </c>
    </row>
    <row r="11" spans="2:6" ht="16.05" customHeight="1" x14ac:dyDescent="0.25">
      <c r="B11" s="62" t="s">
        <v>2441</v>
      </c>
      <c r="C11" s="62" t="s">
        <v>2442</v>
      </c>
      <c r="D11" s="62" t="s">
        <v>2443</v>
      </c>
      <c r="E11" s="62" t="s">
        <v>2444</v>
      </c>
      <c r="F11" s="62" t="s">
        <v>2440</v>
      </c>
    </row>
    <row r="12" spans="2:6" ht="16.05" customHeight="1" x14ac:dyDescent="0.25">
      <c r="B12" s="62" t="s">
        <v>2445</v>
      </c>
      <c r="C12" s="62" t="s">
        <v>2446</v>
      </c>
      <c r="D12" s="62" t="s">
        <v>2447</v>
      </c>
      <c r="E12" s="62" t="s">
        <v>2448</v>
      </c>
      <c r="F12" s="62" t="s">
        <v>2440</v>
      </c>
    </row>
    <row r="13" spans="2:6" ht="16.05" customHeight="1" x14ac:dyDescent="0.25">
      <c r="B13" s="62" t="s">
        <v>2449</v>
      </c>
      <c r="C13" s="62" t="s">
        <v>2450</v>
      </c>
      <c r="D13" s="62" t="s">
        <v>2451</v>
      </c>
      <c r="E13" s="62" t="s">
        <v>2452</v>
      </c>
      <c r="F13" s="62" t="s">
        <v>2440</v>
      </c>
    </row>
    <row r="14" spans="2:6" ht="16.05" customHeight="1" x14ac:dyDescent="0.25">
      <c r="B14" s="62" t="s">
        <v>2453</v>
      </c>
      <c r="C14" s="62" t="s">
        <v>2454</v>
      </c>
      <c r="D14" s="62" t="s">
        <v>2455</v>
      </c>
      <c r="E14" s="62" t="s">
        <v>2439</v>
      </c>
      <c r="F14" s="62" t="s">
        <v>2440</v>
      </c>
    </row>
    <row r="15" spans="2:6" ht="16.05" customHeight="1" x14ac:dyDescent="0.25">
      <c r="B15" s="62" t="s">
        <v>2456</v>
      </c>
      <c r="C15" s="62" t="s">
        <v>2457</v>
      </c>
      <c r="D15" s="62" t="s">
        <v>2458</v>
      </c>
      <c r="E15" s="62" t="s">
        <v>2439</v>
      </c>
      <c r="F15" s="62" t="s">
        <v>1842</v>
      </c>
    </row>
    <row r="16" spans="2:6" ht="16.05" customHeight="1" x14ac:dyDescent="0.25">
      <c r="B16" s="62" t="s">
        <v>2459</v>
      </c>
      <c r="C16" s="62" t="s">
        <v>2460</v>
      </c>
      <c r="D16" s="62" t="s">
        <v>2461</v>
      </c>
      <c r="E16" s="62" t="s">
        <v>2462</v>
      </c>
      <c r="F16" s="62" t="s">
        <v>2440</v>
      </c>
    </row>
    <row r="17" spans="2:6" ht="16.05" customHeight="1" x14ac:dyDescent="0.25">
      <c r="B17" s="62" t="s">
        <v>2463</v>
      </c>
      <c r="C17" s="62" t="s">
        <v>2464</v>
      </c>
      <c r="D17" s="62" t="s">
        <v>2465</v>
      </c>
      <c r="E17" s="62" t="s">
        <v>2466</v>
      </c>
      <c r="F17" s="62" t="s">
        <v>1739</v>
      </c>
    </row>
    <row r="18" spans="2:6" ht="16.05" customHeight="1" x14ac:dyDescent="0.25">
      <c r="B18" s="62" t="s">
        <v>2467</v>
      </c>
      <c r="C18" s="62" t="s">
        <v>2468</v>
      </c>
      <c r="D18" s="62" t="s">
        <v>2469</v>
      </c>
      <c r="E18" s="62" t="s">
        <v>2470</v>
      </c>
      <c r="F18" s="62" t="s">
        <v>1739</v>
      </c>
    </row>
    <row r="19" spans="2:6" ht="16.05" customHeight="1" x14ac:dyDescent="0.25"/>
    <row r="20" spans="2:6" ht="16.05" customHeight="1" x14ac:dyDescent="0.25">
      <c r="B20" s="148" t="s">
        <v>2471</v>
      </c>
      <c r="C20" s="148"/>
      <c r="D20" s="148"/>
      <c r="E20" s="148"/>
      <c r="F20" s="148"/>
    </row>
    <row r="21" spans="2:6" ht="16.05" customHeight="1" x14ac:dyDescent="0.25">
      <c r="B21" s="60" t="s">
        <v>2472</v>
      </c>
      <c r="C21" s="60" t="s">
        <v>2473</v>
      </c>
      <c r="D21" s="60" t="s">
        <v>2434</v>
      </c>
    </row>
    <row r="22" spans="2:6" ht="16.05" customHeight="1" x14ac:dyDescent="0.25">
      <c r="B22" s="62" t="s">
        <v>2474</v>
      </c>
      <c r="C22" s="62" t="s">
        <v>2475</v>
      </c>
      <c r="D22" s="62" t="s">
        <v>2476</v>
      </c>
    </row>
    <row r="23" spans="2:6" ht="16.05" customHeight="1" x14ac:dyDescent="0.25">
      <c r="B23" s="62" t="s">
        <v>2477</v>
      </c>
      <c r="C23" s="62" t="s">
        <v>2478</v>
      </c>
      <c r="D23" s="62" t="s">
        <v>2479</v>
      </c>
    </row>
    <row r="24" spans="2:6" ht="16.05" customHeight="1" x14ac:dyDescent="0.25">
      <c r="B24" s="62" t="s">
        <v>2480</v>
      </c>
      <c r="C24" s="62" t="s">
        <v>2481</v>
      </c>
      <c r="D24" s="62" t="s">
        <v>2482</v>
      </c>
    </row>
    <row r="25" spans="2:6" ht="16.05" customHeight="1" x14ac:dyDescent="0.25"/>
    <row r="26" spans="2:6" ht="16.05" customHeight="1" x14ac:dyDescent="0.25">
      <c r="B26" s="58" t="s">
        <v>2483</v>
      </c>
    </row>
    <row r="27" spans="2:6" ht="16.05" customHeight="1" x14ac:dyDescent="0.25"/>
    <row r="28" spans="2:6" ht="16.05" customHeight="1" x14ac:dyDescent="0.25">
      <c r="B28" s="148" t="s">
        <v>2484</v>
      </c>
      <c r="C28" s="148"/>
      <c r="D28" s="148"/>
      <c r="E28" s="148"/>
      <c r="F28" s="148"/>
    </row>
    <row r="29" spans="2:6" ht="16.05" customHeight="1" x14ac:dyDescent="0.25">
      <c r="B29" s="60" t="s">
        <v>232</v>
      </c>
      <c r="C29" s="60" t="s">
        <v>2485</v>
      </c>
      <c r="D29" s="60" t="s">
        <v>2486</v>
      </c>
    </row>
    <row r="30" spans="2:6" ht="16.05" customHeight="1" x14ac:dyDescent="0.25">
      <c r="B30" s="62" t="s">
        <v>2487</v>
      </c>
      <c r="C30" s="62" t="s">
        <v>2488</v>
      </c>
      <c r="D30" s="62" t="s">
        <v>2489</v>
      </c>
    </row>
    <row r="31" spans="2:6" ht="16.05" customHeight="1" x14ac:dyDescent="0.25">
      <c r="B31" s="62" t="s">
        <v>2490</v>
      </c>
      <c r="C31" s="62" t="s">
        <v>2491</v>
      </c>
      <c r="D31" s="62" t="s">
        <v>1514</v>
      </c>
    </row>
    <row r="32" spans="2:6" ht="16.05" customHeight="1" x14ac:dyDescent="0.25">
      <c r="B32" s="62" t="s">
        <v>167</v>
      </c>
      <c r="C32" s="62" t="s">
        <v>2492</v>
      </c>
      <c r="D32" s="62" t="s">
        <v>2493</v>
      </c>
    </row>
    <row r="33" spans="2:6" ht="16.05" customHeight="1" x14ac:dyDescent="0.25">
      <c r="B33" s="62" t="s">
        <v>2494</v>
      </c>
      <c r="C33" s="62" t="s">
        <v>2495</v>
      </c>
      <c r="D33" s="62" t="s">
        <v>1514</v>
      </c>
    </row>
    <row r="34" spans="2:6" ht="16.05" customHeight="1" x14ac:dyDescent="0.25">
      <c r="B34" s="62" t="s">
        <v>2496</v>
      </c>
      <c r="C34" s="62" t="s">
        <v>2497</v>
      </c>
      <c r="D34" s="62" t="s">
        <v>2498</v>
      </c>
    </row>
    <row r="35" spans="2:6" ht="16.05" customHeight="1" x14ac:dyDescent="0.25">
      <c r="B35" s="62" t="s">
        <v>2499</v>
      </c>
      <c r="C35" s="62" t="s">
        <v>2500</v>
      </c>
      <c r="D35" s="62" t="s">
        <v>2501</v>
      </c>
    </row>
    <row r="36" spans="2:6" ht="16.05" customHeight="1" x14ac:dyDescent="0.25"/>
    <row r="37" spans="2:6" ht="16.05" customHeight="1" x14ac:dyDescent="0.25">
      <c r="B37" s="148" t="s">
        <v>2502</v>
      </c>
      <c r="C37" s="148"/>
      <c r="D37" s="148"/>
      <c r="E37" s="148"/>
      <c r="F37" s="148"/>
    </row>
    <row r="38" spans="2:6" ht="16.05" customHeight="1" x14ac:dyDescent="0.25">
      <c r="B38" s="60" t="s">
        <v>2503</v>
      </c>
      <c r="C38" s="60" t="s">
        <v>2504</v>
      </c>
    </row>
    <row r="39" spans="2:6" ht="16.05" customHeight="1" x14ac:dyDescent="0.25">
      <c r="B39" s="62" t="s">
        <v>2505</v>
      </c>
      <c r="C39" s="62" t="s">
        <v>2506</v>
      </c>
    </row>
    <row r="40" spans="2:6" ht="16.05" customHeight="1" x14ac:dyDescent="0.25">
      <c r="B40" s="62" t="s">
        <v>2507</v>
      </c>
      <c r="C40" s="62" t="s">
        <v>2508</v>
      </c>
    </row>
    <row r="41" spans="2:6" ht="16.05" customHeight="1" x14ac:dyDescent="0.25">
      <c r="B41" s="62" t="s">
        <v>2509</v>
      </c>
      <c r="C41" s="62" t="s">
        <v>2510</v>
      </c>
    </row>
    <row r="42" spans="2:6" ht="16.05" customHeight="1" x14ac:dyDescent="0.25">
      <c r="B42" s="62" t="s">
        <v>2511</v>
      </c>
      <c r="C42" s="62" t="s">
        <v>2512</v>
      </c>
    </row>
    <row r="43" spans="2:6" ht="16.05" customHeight="1" x14ac:dyDescent="0.25">
      <c r="B43" s="62" t="s">
        <v>2499</v>
      </c>
      <c r="C43" s="62" t="s">
        <v>2513</v>
      </c>
    </row>
    <row r="44" spans="2:6" ht="16.05" customHeight="1" x14ac:dyDescent="0.25">
      <c r="B44" s="62" t="s">
        <v>2514</v>
      </c>
      <c r="C44" s="62" t="s">
        <v>2515</v>
      </c>
    </row>
    <row r="45" spans="2:6" ht="16.05" customHeight="1" x14ac:dyDescent="0.25">
      <c r="B45" s="62" t="s">
        <v>2516</v>
      </c>
      <c r="C45" s="62" t="s">
        <v>2517</v>
      </c>
    </row>
    <row r="46" spans="2:6" ht="16.05" customHeight="1" x14ac:dyDescent="0.25"/>
    <row r="47" spans="2:6" ht="16.05" customHeight="1" x14ac:dyDescent="0.25">
      <c r="B47" s="148" t="s">
        <v>2518</v>
      </c>
      <c r="C47" s="148"/>
      <c r="D47" s="148"/>
      <c r="E47" s="148"/>
      <c r="F47" s="148"/>
    </row>
    <row r="48" spans="2:6" ht="16.05" customHeight="1" x14ac:dyDescent="0.25">
      <c r="B48" s="58" t="s">
        <v>2519</v>
      </c>
    </row>
    <row r="49" spans="2:6" ht="16.05" customHeight="1" x14ac:dyDescent="0.25">
      <c r="B49" s="60" t="s">
        <v>2520</v>
      </c>
      <c r="C49" s="60" t="s">
        <v>2521</v>
      </c>
      <c r="D49" s="60" t="s">
        <v>2434</v>
      </c>
    </row>
    <row r="50" spans="2:6" ht="16.05" customHeight="1" x14ac:dyDescent="0.25">
      <c r="B50" s="62" t="s">
        <v>2522</v>
      </c>
      <c r="C50" s="62" t="s">
        <v>2523</v>
      </c>
      <c r="D50" s="62" t="s">
        <v>2524</v>
      </c>
    </row>
    <row r="51" spans="2:6" ht="16.05" customHeight="1" x14ac:dyDescent="0.25">
      <c r="B51" s="62" t="s">
        <v>2525</v>
      </c>
      <c r="C51" s="62" t="s">
        <v>2526</v>
      </c>
      <c r="D51" s="62" t="s">
        <v>2527</v>
      </c>
    </row>
    <row r="52" spans="2:6" ht="16.05" customHeight="1" x14ac:dyDescent="0.25">
      <c r="B52" s="62" t="s">
        <v>2528</v>
      </c>
      <c r="C52" s="62" t="s">
        <v>2529</v>
      </c>
      <c r="D52" s="62" t="s">
        <v>2530</v>
      </c>
    </row>
    <row r="53" spans="2:6" ht="16.05" customHeight="1" x14ac:dyDescent="0.25">
      <c r="B53" s="62" t="s">
        <v>2531</v>
      </c>
      <c r="C53" s="62" t="s">
        <v>2532</v>
      </c>
      <c r="D53" s="62" t="s">
        <v>2533</v>
      </c>
    </row>
    <row r="54" spans="2:6" ht="16.05" customHeight="1" x14ac:dyDescent="0.25">
      <c r="B54" s="62" t="s">
        <v>2534</v>
      </c>
      <c r="C54" s="62" t="s">
        <v>2535</v>
      </c>
      <c r="D54" s="62" t="s">
        <v>2536</v>
      </c>
    </row>
    <row r="55" spans="2:6" ht="16.05" customHeight="1" x14ac:dyDescent="0.25"/>
    <row r="56" spans="2:6" ht="16.05" customHeight="1" x14ac:dyDescent="0.25">
      <c r="B56" s="148" t="s">
        <v>2537</v>
      </c>
      <c r="C56" s="148"/>
      <c r="D56" s="148"/>
      <c r="E56" s="148"/>
      <c r="F56" s="148"/>
    </row>
    <row r="57" spans="2:6" ht="16.05" customHeight="1" x14ac:dyDescent="0.25">
      <c r="B57" s="60" t="s">
        <v>2538</v>
      </c>
      <c r="C57" s="60" t="s">
        <v>26</v>
      </c>
    </row>
    <row r="58" spans="2:6" ht="16.05" customHeight="1" x14ac:dyDescent="0.25">
      <c r="B58" s="62" t="s">
        <v>2539</v>
      </c>
      <c r="C58" s="62" t="s">
        <v>2540</v>
      </c>
    </row>
    <row r="59" spans="2:6" ht="16.05" customHeight="1" x14ac:dyDescent="0.25">
      <c r="B59" s="62" t="s">
        <v>2541</v>
      </c>
      <c r="C59" s="62" t="s">
        <v>2542</v>
      </c>
    </row>
    <row r="60" spans="2:6" ht="16.05" customHeight="1" x14ac:dyDescent="0.25">
      <c r="B60" s="62" t="s">
        <v>2543</v>
      </c>
      <c r="C60" s="62" t="s">
        <v>2544</v>
      </c>
    </row>
    <row r="61" spans="2:6" ht="16.05" customHeight="1" x14ac:dyDescent="0.25">
      <c r="B61" s="62" t="s">
        <v>2545</v>
      </c>
      <c r="C61" s="62" t="s">
        <v>2546</v>
      </c>
    </row>
    <row r="62" spans="2:6" ht="16.05" customHeight="1" x14ac:dyDescent="0.25"/>
    <row r="63" spans="2:6" ht="16.05" customHeight="1" x14ac:dyDescent="0.25">
      <c r="B63" s="58" t="s">
        <v>2547</v>
      </c>
    </row>
    <row r="64" spans="2:6" ht="16.05" customHeight="1" x14ac:dyDescent="0.25">
      <c r="B64" s="60" t="s">
        <v>2548</v>
      </c>
      <c r="C64" s="60" t="s">
        <v>2549</v>
      </c>
    </row>
    <row r="65" spans="2:3" ht="16.05" customHeight="1" x14ac:dyDescent="0.25">
      <c r="B65" s="62" t="s">
        <v>2550</v>
      </c>
      <c r="C65" s="62" t="s">
        <v>2551</v>
      </c>
    </row>
    <row r="66" spans="2:3" ht="16.05" customHeight="1" x14ac:dyDescent="0.25">
      <c r="B66" s="62" t="s">
        <v>2552</v>
      </c>
      <c r="C66" s="62" t="s">
        <v>2553</v>
      </c>
    </row>
    <row r="67" spans="2:3" ht="16.05" customHeight="1" x14ac:dyDescent="0.25">
      <c r="B67" s="62" t="s">
        <v>2554</v>
      </c>
      <c r="C67" s="62" t="s">
        <v>2555</v>
      </c>
    </row>
    <row r="68" spans="2:3" ht="16.05" customHeight="1" x14ac:dyDescent="0.25">
      <c r="B68" s="62" t="s">
        <v>2556</v>
      </c>
      <c r="C68" s="62" t="s">
        <v>2557</v>
      </c>
    </row>
  </sheetData>
  <mergeCells count="7">
    <mergeCell ref="B56:F56"/>
    <mergeCell ref="B2:F2"/>
    <mergeCell ref="B8:F8"/>
    <mergeCell ref="B20:F20"/>
    <mergeCell ref="B28:F28"/>
    <mergeCell ref="B37:F37"/>
    <mergeCell ref="B47:F4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1F3864"/>
    <pageSetUpPr fitToPage="1"/>
  </sheetPr>
  <dimension ref="B2:F128"/>
  <sheetViews>
    <sheetView showGridLines="0" zoomScale="90" zoomScaleNormal="90" workbookViewId="0"/>
  </sheetViews>
  <sheetFormatPr defaultColWidth="8.6640625" defaultRowHeight="13.8" x14ac:dyDescent="0.25"/>
  <cols>
    <col min="1" max="1" width="8.6640625" style="1"/>
    <col min="2" max="2" width="30" style="1" customWidth="1"/>
    <col min="3" max="3" width="62" style="1" customWidth="1"/>
    <col min="4" max="4" width="64" style="1" customWidth="1"/>
    <col min="5" max="5" width="32" style="1" customWidth="1"/>
    <col min="6" max="6" width="24" style="1" customWidth="1"/>
    <col min="7" max="11" width="20" style="1" customWidth="1"/>
    <col min="12" max="16384" width="8.6640625" style="1"/>
  </cols>
  <sheetData>
    <row r="2" spans="2:5" ht="16.05" customHeight="1" x14ac:dyDescent="0.25">
      <c r="B2" s="148" t="s">
        <v>2558</v>
      </c>
      <c r="C2" s="148"/>
      <c r="D2" s="148"/>
      <c r="E2" s="148"/>
    </row>
    <row r="3" spans="2:5" ht="16.05" customHeight="1" x14ac:dyDescent="0.25">
      <c r="B3" s="58" t="s">
        <v>2559</v>
      </c>
    </row>
    <row r="4" spans="2:5" ht="16.05" customHeight="1" x14ac:dyDescent="0.25">
      <c r="B4" s="58" t="s">
        <v>2560</v>
      </c>
    </row>
    <row r="5" spans="2:5" ht="16.05" customHeight="1" x14ac:dyDescent="0.25">
      <c r="B5" s="58" t="s">
        <v>2561</v>
      </c>
    </row>
    <row r="6" spans="2:5" ht="16.05" customHeight="1" x14ac:dyDescent="0.25">
      <c r="B6" s="58" t="s">
        <v>2562</v>
      </c>
    </row>
    <row r="7" spans="2:5" ht="16.05" customHeight="1" x14ac:dyDescent="0.25"/>
    <row r="8" spans="2:5" ht="16.05" customHeight="1" x14ac:dyDescent="0.25">
      <c r="B8" s="148" t="s">
        <v>2563</v>
      </c>
      <c r="C8" s="148"/>
      <c r="D8" s="148"/>
      <c r="E8" s="148"/>
    </row>
    <row r="9" spans="2:5" ht="16.05" customHeight="1" x14ac:dyDescent="0.25">
      <c r="B9" s="60" t="s">
        <v>148</v>
      </c>
      <c r="C9" s="60" t="s">
        <v>2564</v>
      </c>
      <c r="D9" s="60" t="s">
        <v>2565</v>
      </c>
    </row>
    <row r="10" spans="2:5" ht="16.05" customHeight="1" x14ac:dyDescent="0.25">
      <c r="B10" s="62" t="s">
        <v>2566</v>
      </c>
      <c r="C10" s="62" t="s">
        <v>2567</v>
      </c>
      <c r="D10" s="62" t="s">
        <v>2568</v>
      </c>
    </row>
    <row r="11" spans="2:5" ht="16.05" customHeight="1" x14ac:dyDescent="0.25">
      <c r="B11" s="62" t="s">
        <v>2569</v>
      </c>
      <c r="C11" s="62" t="s">
        <v>2570</v>
      </c>
      <c r="D11" s="62" t="s">
        <v>2571</v>
      </c>
    </row>
    <row r="12" spans="2:5" ht="16.05" customHeight="1" x14ac:dyDescent="0.25">
      <c r="B12" s="62" t="s">
        <v>2572</v>
      </c>
      <c r="C12" s="62" t="s">
        <v>2573</v>
      </c>
      <c r="D12" s="62" t="s">
        <v>2574</v>
      </c>
    </row>
    <row r="13" spans="2:5" ht="16.05" customHeight="1" x14ac:dyDescent="0.25">
      <c r="B13" s="62" t="s">
        <v>2575</v>
      </c>
      <c r="C13" s="62" t="s">
        <v>2576</v>
      </c>
      <c r="D13" s="62" t="s">
        <v>2577</v>
      </c>
    </row>
    <row r="14" spans="2:5" ht="16.05" customHeight="1" x14ac:dyDescent="0.25">
      <c r="B14" s="62" t="s">
        <v>2578</v>
      </c>
      <c r="C14" s="62" t="s">
        <v>2579</v>
      </c>
      <c r="D14" s="62" t="s">
        <v>2580</v>
      </c>
    </row>
    <row r="15" spans="2:5" ht="16.05" customHeight="1" x14ac:dyDescent="0.25">
      <c r="B15" s="62" t="s">
        <v>2581</v>
      </c>
      <c r="C15" s="62" t="s">
        <v>2582</v>
      </c>
      <c r="D15" s="62" t="s">
        <v>2583</v>
      </c>
    </row>
    <row r="16" spans="2:5" ht="16.05" customHeight="1" x14ac:dyDescent="0.25">
      <c r="B16" s="62" t="s">
        <v>2584</v>
      </c>
      <c r="C16" s="62" t="s">
        <v>2585</v>
      </c>
      <c r="D16" s="62" t="s">
        <v>2586</v>
      </c>
    </row>
    <row r="17" spans="2:5" ht="16.05" customHeight="1" x14ac:dyDescent="0.25"/>
    <row r="18" spans="2:5" ht="16.05" customHeight="1" x14ac:dyDescent="0.25">
      <c r="B18" s="148" t="s">
        <v>2587</v>
      </c>
      <c r="C18" s="148"/>
      <c r="D18" s="148"/>
      <c r="E18" s="148"/>
    </row>
    <row r="19" spans="2:5" ht="16.05" customHeight="1" x14ac:dyDescent="0.25">
      <c r="B19" s="58" t="s">
        <v>2588</v>
      </c>
    </row>
    <row r="20" spans="2:5" ht="16.05" customHeight="1" x14ac:dyDescent="0.25">
      <c r="B20" s="60" t="s">
        <v>2589</v>
      </c>
      <c r="C20" s="60" t="s">
        <v>2590</v>
      </c>
      <c r="D20" s="60" t="s">
        <v>2591</v>
      </c>
    </row>
    <row r="21" spans="2:5" ht="16.05" customHeight="1" x14ac:dyDescent="0.25">
      <c r="B21" s="62" t="s">
        <v>2566</v>
      </c>
      <c r="C21" s="62" t="s">
        <v>2592</v>
      </c>
      <c r="D21" s="62" t="s">
        <v>2593</v>
      </c>
    </row>
    <row r="22" spans="2:5" ht="16.05" customHeight="1" x14ac:dyDescent="0.25">
      <c r="B22" s="62" t="s">
        <v>2594</v>
      </c>
      <c r="C22" s="62" t="s">
        <v>2595</v>
      </c>
      <c r="D22" s="62" t="s">
        <v>2596</v>
      </c>
    </row>
    <row r="23" spans="2:5" ht="16.05" customHeight="1" x14ac:dyDescent="0.25">
      <c r="B23" s="62" t="s">
        <v>2597</v>
      </c>
      <c r="C23" s="62" t="s">
        <v>2598</v>
      </c>
      <c r="D23" s="62" t="s">
        <v>2599</v>
      </c>
    </row>
    <row r="24" spans="2:5" ht="16.05" customHeight="1" x14ac:dyDescent="0.25">
      <c r="B24" s="62" t="s">
        <v>2600</v>
      </c>
      <c r="C24" s="62" t="s">
        <v>2601</v>
      </c>
      <c r="D24" s="62" t="s">
        <v>2602</v>
      </c>
    </row>
    <row r="25" spans="2:5" ht="16.05" customHeight="1" x14ac:dyDescent="0.25">
      <c r="B25" s="62" t="s">
        <v>2578</v>
      </c>
      <c r="C25" s="62" t="s">
        <v>2603</v>
      </c>
      <c r="D25" s="62" t="s">
        <v>2604</v>
      </c>
    </row>
    <row r="26" spans="2:5" ht="16.05" customHeight="1" x14ac:dyDescent="0.25">
      <c r="B26" s="62" t="s">
        <v>2581</v>
      </c>
      <c r="C26" s="62" t="s">
        <v>2605</v>
      </c>
      <c r="D26" s="62" t="s">
        <v>2606</v>
      </c>
    </row>
    <row r="27" spans="2:5" ht="16.05" customHeight="1" x14ac:dyDescent="0.25">
      <c r="B27" s="62" t="s">
        <v>2607</v>
      </c>
      <c r="C27" s="62" t="s">
        <v>2608</v>
      </c>
      <c r="D27" s="62" t="s">
        <v>2609</v>
      </c>
    </row>
    <row r="28" spans="2:5" ht="16.05" customHeight="1" x14ac:dyDescent="0.25">
      <c r="B28" s="62" t="s">
        <v>2610</v>
      </c>
      <c r="C28" s="62" t="s">
        <v>2611</v>
      </c>
      <c r="D28" s="62" t="s">
        <v>2612</v>
      </c>
    </row>
    <row r="29" spans="2:5" ht="16.05" customHeight="1" x14ac:dyDescent="0.25"/>
    <row r="30" spans="2:5" ht="16.05" customHeight="1" x14ac:dyDescent="0.25">
      <c r="B30" s="58" t="s">
        <v>2613</v>
      </c>
    </row>
    <row r="31" spans="2:5" ht="16.05" customHeight="1" x14ac:dyDescent="0.25">
      <c r="C31" s="62" t="s">
        <v>2614</v>
      </c>
    </row>
    <row r="32" spans="2:5" ht="16.05" customHeight="1" x14ac:dyDescent="0.25">
      <c r="C32" s="62" t="s">
        <v>2615</v>
      </c>
    </row>
    <row r="33" spans="2:5" ht="16.05" customHeight="1" x14ac:dyDescent="0.25">
      <c r="C33" s="62" t="s">
        <v>2616</v>
      </c>
    </row>
    <row r="34" spans="2:5" ht="16.05" customHeight="1" x14ac:dyDescent="0.25">
      <c r="C34" s="62" t="s">
        <v>2617</v>
      </c>
    </row>
    <row r="35" spans="2:5" ht="16.05" customHeight="1" x14ac:dyDescent="0.25">
      <c r="C35" s="62" t="s">
        <v>2618</v>
      </c>
    </row>
    <row r="36" spans="2:5" ht="16.05" customHeight="1" x14ac:dyDescent="0.25">
      <c r="C36" s="62" t="s">
        <v>2619</v>
      </c>
    </row>
    <row r="37" spans="2:5" ht="16.05" customHeight="1" x14ac:dyDescent="0.25"/>
    <row r="38" spans="2:5" ht="16.05" customHeight="1" x14ac:dyDescent="0.25">
      <c r="B38" s="148" t="s">
        <v>2620</v>
      </c>
      <c r="C38" s="148"/>
      <c r="D38" s="148"/>
      <c r="E38" s="148"/>
    </row>
    <row r="39" spans="2:5" ht="16.05" customHeight="1" x14ac:dyDescent="0.25">
      <c r="B39" s="58" t="s">
        <v>2621</v>
      </c>
    </row>
    <row r="40" spans="2:5" ht="16.05" customHeight="1" x14ac:dyDescent="0.25">
      <c r="B40" s="60" t="s">
        <v>2622</v>
      </c>
      <c r="C40" s="60" t="s">
        <v>2623</v>
      </c>
      <c r="D40" s="60" t="s">
        <v>2624</v>
      </c>
    </row>
    <row r="41" spans="2:5" ht="16.05" customHeight="1" x14ac:dyDescent="0.25">
      <c r="B41" s="62" t="s">
        <v>2625</v>
      </c>
      <c r="C41" s="62" t="s">
        <v>2626</v>
      </c>
      <c r="D41" s="62" t="s">
        <v>2627</v>
      </c>
    </row>
    <row r="42" spans="2:5" ht="16.05" customHeight="1" x14ac:dyDescent="0.25">
      <c r="B42" s="62" t="s">
        <v>2628</v>
      </c>
      <c r="C42" s="62" t="s">
        <v>2626</v>
      </c>
      <c r="D42" s="62" t="s">
        <v>2629</v>
      </c>
    </row>
    <row r="43" spans="2:5" ht="16.05" customHeight="1" x14ac:dyDescent="0.25">
      <c r="B43" s="62" t="s">
        <v>2630</v>
      </c>
      <c r="C43" s="62" t="s">
        <v>2631</v>
      </c>
      <c r="D43" s="62" t="s">
        <v>2632</v>
      </c>
    </row>
    <row r="44" spans="2:5" ht="16.05" customHeight="1" x14ac:dyDescent="0.25">
      <c r="B44" s="62" t="s">
        <v>2633</v>
      </c>
      <c r="C44" s="62" t="s">
        <v>2634</v>
      </c>
      <c r="D44" s="62" t="s">
        <v>2635</v>
      </c>
    </row>
    <row r="45" spans="2:5" ht="16.05" customHeight="1" x14ac:dyDescent="0.25">
      <c r="B45" s="62" t="s">
        <v>2636</v>
      </c>
      <c r="C45" s="62" t="s">
        <v>2631</v>
      </c>
      <c r="D45" s="62" t="s">
        <v>2637</v>
      </c>
    </row>
    <row r="46" spans="2:5" ht="16.05" customHeight="1" x14ac:dyDescent="0.25">
      <c r="B46" s="62" t="s">
        <v>2638</v>
      </c>
      <c r="C46" s="62" t="s">
        <v>2639</v>
      </c>
      <c r="D46" s="62" t="s">
        <v>2640</v>
      </c>
    </row>
    <row r="47" spans="2:5" ht="16.05" customHeight="1" x14ac:dyDescent="0.25">
      <c r="B47" s="62" t="s">
        <v>2641</v>
      </c>
      <c r="C47" s="62" t="s">
        <v>2639</v>
      </c>
      <c r="D47" s="62" t="s">
        <v>2642</v>
      </c>
    </row>
    <row r="48" spans="2:5" ht="16.05" customHeight="1" x14ac:dyDescent="0.25">
      <c r="B48" s="62" t="s">
        <v>2643</v>
      </c>
      <c r="C48" s="62" t="s">
        <v>2644</v>
      </c>
      <c r="D48" s="62" t="s">
        <v>2645</v>
      </c>
    </row>
    <row r="49" spans="2:4" ht="16.05" customHeight="1" x14ac:dyDescent="0.25">
      <c r="B49" s="62" t="s">
        <v>2646</v>
      </c>
      <c r="C49" s="62" t="s">
        <v>2634</v>
      </c>
      <c r="D49" s="62" t="s">
        <v>2647</v>
      </c>
    </row>
    <row r="50" spans="2:4" ht="16.05" customHeight="1" x14ac:dyDescent="0.25">
      <c r="B50" s="62" t="s">
        <v>2648</v>
      </c>
      <c r="C50" s="62" t="s">
        <v>2639</v>
      </c>
      <c r="D50" s="62" t="s">
        <v>2649</v>
      </c>
    </row>
    <row r="51" spans="2:4" ht="16.05" customHeight="1" x14ac:dyDescent="0.25"/>
    <row r="52" spans="2:4" ht="16.05" customHeight="1" x14ac:dyDescent="0.25">
      <c r="B52" s="58" t="s">
        <v>2650</v>
      </c>
    </row>
    <row r="53" spans="2:4" ht="16.05" customHeight="1" x14ac:dyDescent="0.25">
      <c r="B53" s="60" t="s">
        <v>2651</v>
      </c>
      <c r="C53" s="60" t="s">
        <v>2652</v>
      </c>
    </row>
    <row r="54" spans="2:4" ht="16.05" customHeight="1" x14ac:dyDescent="0.25">
      <c r="B54" s="62" t="s">
        <v>2653</v>
      </c>
      <c r="C54" s="62" t="s">
        <v>2654</v>
      </c>
    </row>
    <row r="55" spans="2:4" ht="16.05" customHeight="1" x14ac:dyDescent="0.25">
      <c r="B55" s="62" t="s">
        <v>2655</v>
      </c>
      <c r="C55" s="62" t="s">
        <v>2656</v>
      </c>
    </row>
    <row r="56" spans="2:4" ht="16.05" customHeight="1" x14ac:dyDescent="0.25">
      <c r="B56" s="62" t="s">
        <v>2657</v>
      </c>
      <c r="C56" s="62" t="s">
        <v>2658</v>
      </c>
    </row>
    <row r="57" spans="2:4" ht="16.05" customHeight="1" x14ac:dyDescent="0.25">
      <c r="B57" s="62" t="s">
        <v>2659</v>
      </c>
      <c r="C57" s="62" t="s">
        <v>2660</v>
      </c>
    </row>
    <row r="58" spans="2:4" ht="16.05" customHeight="1" x14ac:dyDescent="0.25">
      <c r="B58" s="62" t="s">
        <v>2661</v>
      </c>
      <c r="C58" s="62" t="s">
        <v>2662</v>
      </c>
    </row>
    <row r="59" spans="2:4" ht="16.05" customHeight="1" x14ac:dyDescent="0.25"/>
    <row r="60" spans="2:4" ht="16.05" customHeight="1" x14ac:dyDescent="0.25">
      <c r="B60" s="58" t="s">
        <v>2663</v>
      </c>
    </row>
    <row r="61" spans="2:4" ht="16.05" customHeight="1" x14ac:dyDescent="0.25">
      <c r="B61" s="60" t="s">
        <v>2664</v>
      </c>
      <c r="C61" s="60" t="s">
        <v>2624</v>
      </c>
    </row>
    <row r="62" spans="2:4" ht="16.05" customHeight="1" x14ac:dyDescent="0.25">
      <c r="B62" s="62" t="s">
        <v>2665</v>
      </c>
      <c r="C62" s="62" t="s">
        <v>2666</v>
      </c>
    </row>
    <row r="63" spans="2:4" ht="16.05" customHeight="1" x14ac:dyDescent="0.25">
      <c r="B63" s="62" t="s">
        <v>2667</v>
      </c>
      <c r="C63" s="62" t="s">
        <v>2668</v>
      </c>
    </row>
    <row r="64" spans="2:4" ht="16.05" customHeight="1" x14ac:dyDescent="0.25">
      <c r="B64" s="62" t="s">
        <v>2669</v>
      </c>
      <c r="C64" s="62" t="s">
        <v>2670</v>
      </c>
    </row>
    <row r="65" spans="2:6" ht="16.05" customHeight="1" x14ac:dyDescent="0.25">
      <c r="B65" s="62" t="s">
        <v>2671</v>
      </c>
      <c r="C65" s="62" t="s">
        <v>2672</v>
      </c>
    </row>
    <row r="66" spans="2:6" ht="16.05" customHeight="1" x14ac:dyDescent="0.25">
      <c r="B66" s="62" t="s">
        <v>2673</v>
      </c>
      <c r="C66" s="62" t="s">
        <v>2674</v>
      </c>
    </row>
    <row r="67" spans="2:6" ht="16.05" customHeight="1" x14ac:dyDescent="0.25"/>
    <row r="68" spans="2:6" ht="16.05" customHeight="1" x14ac:dyDescent="0.25">
      <c r="B68" s="58" t="s">
        <v>2675</v>
      </c>
    </row>
    <row r="69" spans="2:6" ht="16.05" customHeight="1" x14ac:dyDescent="0.25">
      <c r="B69" s="60" t="s">
        <v>2676</v>
      </c>
      <c r="C69" s="60" t="s">
        <v>2677</v>
      </c>
      <c r="D69" s="60" t="s">
        <v>2678</v>
      </c>
      <c r="E69" s="60" t="s">
        <v>2679</v>
      </c>
      <c r="F69" s="60" t="s">
        <v>2680</v>
      </c>
    </row>
    <row r="70" spans="2:6" ht="16.05" customHeight="1" x14ac:dyDescent="0.25">
      <c r="B70" s="62" t="s">
        <v>2681</v>
      </c>
      <c r="C70" s="62" t="s">
        <v>2682</v>
      </c>
      <c r="D70" s="62" t="s">
        <v>2682</v>
      </c>
      <c r="E70" s="62" t="s">
        <v>2683</v>
      </c>
      <c r="F70" s="62" t="s">
        <v>2682</v>
      </c>
    </row>
    <row r="71" spans="2:6" ht="16.05" customHeight="1" x14ac:dyDescent="0.25">
      <c r="B71" s="62" t="s">
        <v>2684</v>
      </c>
      <c r="C71" s="62" t="s">
        <v>2682</v>
      </c>
      <c r="D71" s="62" t="s">
        <v>2683</v>
      </c>
      <c r="E71" s="62" t="s">
        <v>2683</v>
      </c>
      <c r="F71" s="62" t="s">
        <v>2683</v>
      </c>
    </row>
    <row r="72" spans="2:6" ht="16.05" customHeight="1" x14ac:dyDescent="0.25">
      <c r="B72" s="62" t="s">
        <v>2685</v>
      </c>
      <c r="C72" s="62" t="s">
        <v>2683</v>
      </c>
      <c r="D72" s="62" t="s">
        <v>2683</v>
      </c>
      <c r="E72" s="62" t="s">
        <v>2683</v>
      </c>
      <c r="F72" s="62" t="s">
        <v>2686</v>
      </c>
    </row>
    <row r="73" spans="2:6" ht="16.05" customHeight="1" x14ac:dyDescent="0.25">
      <c r="B73" s="62" t="s">
        <v>2687</v>
      </c>
      <c r="C73" s="62" t="s">
        <v>2682</v>
      </c>
      <c r="D73" s="62" t="s">
        <v>2682</v>
      </c>
      <c r="E73" s="62" t="s">
        <v>2682</v>
      </c>
      <c r="F73" s="62" t="s">
        <v>2682</v>
      </c>
    </row>
    <row r="74" spans="2:6" ht="16.05" customHeight="1" x14ac:dyDescent="0.25">
      <c r="B74" s="62" t="s">
        <v>2688</v>
      </c>
      <c r="C74" s="62" t="s">
        <v>2682</v>
      </c>
      <c r="D74" s="62" t="s">
        <v>2682</v>
      </c>
      <c r="E74" s="62" t="s">
        <v>2683</v>
      </c>
      <c r="F74" s="62" t="s">
        <v>2683</v>
      </c>
    </row>
    <row r="75" spans="2:6" ht="16.05" customHeight="1" x14ac:dyDescent="0.25">
      <c r="B75" s="62" t="s">
        <v>2689</v>
      </c>
      <c r="C75" s="62" t="s">
        <v>2682</v>
      </c>
      <c r="D75" s="62" t="s">
        <v>2683</v>
      </c>
      <c r="E75" s="62" t="s">
        <v>2683</v>
      </c>
      <c r="F75" s="62" t="s">
        <v>2682</v>
      </c>
    </row>
    <row r="76" spans="2:6" ht="16.05" customHeight="1" x14ac:dyDescent="0.25"/>
    <row r="77" spans="2:6" ht="16.05" customHeight="1" x14ac:dyDescent="0.25">
      <c r="B77" s="148" t="s">
        <v>2690</v>
      </c>
      <c r="C77" s="148"/>
      <c r="D77" s="148"/>
      <c r="E77" s="148"/>
    </row>
    <row r="78" spans="2:6" ht="16.05" customHeight="1" x14ac:dyDescent="0.25">
      <c r="B78" s="58" t="s">
        <v>2691</v>
      </c>
    </row>
    <row r="79" spans="2:6" ht="16.05" customHeight="1" x14ac:dyDescent="0.25">
      <c r="B79" s="60" t="s">
        <v>2692</v>
      </c>
      <c r="C79" s="60" t="s">
        <v>308</v>
      </c>
    </row>
    <row r="80" spans="2:6" ht="16.05" customHeight="1" x14ac:dyDescent="0.25">
      <c r="B80" s="62" t="s">
        <v>2693</v>
      </c>
      <c r="C80" s="62" t="s">
        <v>2694</v>
      </c>
    </row>
    <row r="81" spans="2:5" ht="16.05" customHeight="1" x14ac:dyDescent="0.25">
      <c r="B81" s="62" t="s">
        <v>2695</v>
      </c>
      <c r="C81" s="62" t="s">
        <v>2696</v>
      </c>
    </row>
    <row r="82" spans="2:5" ht="16.05" customHeight="1" x14ac:dyDescent="0.25">
      <c r="B82" s="62" t="s">
        <v>2697</v>
      </c>
      <c r="C82" s="62" t="s">
        <v>2698</v>
      </c>
    </row>
    <row r="83" spans="2:5" ht="16.05" customHeight="1" x14ac:dyDescent="0.25">
      <c r="B83" s="62" t="s">
        <v>2699</v>
      </c>
      <c r="C83" s="62" t="s">
        <v>2700</v>
      </c>
    </row>
    <row r="84" spans="2:5" ht="16.05" customHeight="1" x14ac:dyDescent="0.25">
      <c r="B84" s="62" t="s">
        <v>2701</v>
      </c>
      <c r="C84" s="62" t="s">
        <v>2702</v>
      </c>
    </row>
    <row r="85" spans="2:5" ht="16.05" customHeight="1" x14ac:dyDescent="0.25">
      <c r="B85" s="62" t="s">
        <v>2703</v>
      </c>
      <c r="C85" s="62" t="s">
        <v>2704</v>
      </c>
    </row>
    <row r="86" spans="2:5" ht="16.05" customHeight="1" x14ac:dyDescent="0.25">
      <c r="B86" s="62" t="s">
        <v>2705</v>
      </c>
      <c r="C86" s="62" t="s">
        <v>2706</v>
      </c>
    </row>
    <row r="87" spans="2:5" ht="16.05" customHeight="1" x14ac:dyDescent="0.25">
      <c r="B87" s="62" t="s">
        <v>2707</v>
      </c>
      <c r="C87" s="62" t="s">
        <v>2708</v>
      </c>
    </row>
    <row r="88" spans="2:5" ht="16.05" customHeight="1" x14ac:dyDescent="0.25">
      <c r="B88" s="62" t="s">
        <v>2709</v>
      </c>
      <c r="C88" s="62" t="s">
        <v>2710</v>
      </c>
    </row>
    <row r="89" spans="2:5" ht="16.05" customHeight="1" x14ac:dyDescent="0.25">
      <c r="B89" s="62" t="s">
        <v>2711</v>
      </c>
      <c r="C89" s="62" t="s">
        <v>2712</v>
      </c>
    </row>
    <row r="90" spans="2:5" ht="16.05" customHeight="1" x14ac:dyDescent="0.25">
      <c r="B90" s="62" t="s">
        <v>2713</v>
      </c>
      <c r="C90" s="62" t="s">
        <v>2714</v>
      </c>
    </row>
    <row r="91" spans="2:5" ht="16.05" customHeight="1" x14ac:dyDescent="0.25">
      <c r="B91" s="62" t="s">
        <v>2715</v>
      </c>
      <c r="C91" s="62" t="s">
        <v>2716</v>
      </c>
    </row>
    <row r="92" spans="2:5" ht="16.05" customHeight="1" x14ac:dyDescent="0.25"/>
    <row r="93" spans="2:5" ht="16.05" customHeight="1" x14ac:dyDescent="0.25">
      <c r="B93" s="58" t="s">
        <v>2717</v>
      </c>
    </row>
    <row r="94" spans="2:5" ht="16.05" customHeight="1" x14ac:dyDescent="0.25"/>
    <row r="95" spans="2:5" ht="16.05" customHeight="1" x14ac:dyDescent="0.25">
      <c r="B95" s="148" t="s">
        <v>2718</v>
      </c>
      <c r="C95" s="148"/>
      <c r="D95" s="148"/>
      <c r="E95" s="148"/>
    </row>
    <row r="96" spans="2:5" ht="16.05" customHeight="1" x14ac:dyDescent="0.25">
      <c r="B96" s="58" t="s">
        <v>2719</v>
      </c>
    </row>
    <row r="97" spans="2:5" ht="16.05" customHeight="1" x14ac:dyDescent="0.25">
      <c r="B97" s="60" t="s">
        <v>2720</v>
      </c>
      <c r="C97" s="60" t="s">
        <v>155</v>
      </c>
      <c r="D97" s="60" t="s">
        <v>2721</v>
      </c>
      <c r="E97" s="60" t="s">
        <v>2722</v>
      </c>
    </row>
    <row r="98" spans="2:5" ht="16.05" customHeight="1" x14ac:dyDescent="0.25">
      <c r="B98" s="62" t="s">
        <v>2723</v>
      </c>
      <c r="C98" s="62" t="s">
        <v>2724</v>
      </c>
      <c r="D98" s="62" t="s">
        <v>2725</v>
      </c>
      <c r="E98" s="62" t="s">
        <v>2726</v>
      </c>
    </row>
    <row r="99" spans="2:5" ht="16.05" customHeight="1" x14ac:dyDescent="0.25">
      <c r="B99" s="62" t="s">
        <v>2723</v>
      </c>
      <c r="C99" s="62" t="s">
        <v>2727</v>
      </c>
      <c r="D99" s="62" t="s">
        <v>2728</v>
      </c>
      <c r="E99" s="62" t="s">
        <v>2726</v>
      </c>
    </row>
    <row r="100" spans="2:5" ht="16.05" customHeight="1" x14ac:dyDescent="0.25">
      <c r="B100" s="62" t="s">
        <v>2723</v>
      </c>
      <c r="C100" s="62" t="s">
        <v>2729</v>
      </c>
      <c r="D100" s="62" t="s">
        <v>2730</v>
      </c>
      <c r="E100" s="62" t="s">
        <v>2566</v>
      </c>
    </row>
    <row r="101" spans="2:5" ht="16.05" customHeight="1" x14ac:dyDescent="0.25">
      <c r="B101" s="62" t="s">
        <v>2723</v>
      </c>
      <c r="C101" s="62" t="s">
        <v>2731</v>
      </c>
      <c r="D101" s="62" t="s">
        <v>2732</v>
      </c>
      <c r="E101" s="62" t="s">
        <v>2726</v>
      </c>
    </row>
    <row r="102" spans="2:5" ht="16.05" customHeight="1" x14ac:dyDescent="0.25">
      <c r="B102" s="62" t="s">
        <v>2723</v>
      </c>
      <c r="C102" s="62" t="s">
        <v>2733</v>
      </c>
      <c r="D102" s="62" t="s">
        <v>2734</v>
      </c>
      <c r="E102" s="62" t="s">
        <v>2735</v>
      </c>
    </row>
    <row r="103" spans="2:5" ht="16.05" customHeight="1" x14ac:dyDescent="0.25">
      <c r="B103" s="62" t="s">
        <v>2723</v>
      </c>
      <c r="C103" s="62" t="s">
        <v>2736</v>
      </c>
      <c r="D103" s="62" t="s">
        <v>2737</v>
      </c>
      <c r="E103" s="62" t="s">
        <v>2738</v>
      </c>
    </row>
    <row r="104" spans="2:5" ht="16.05" customHeight="1" x14ac:dyDescent="0.25">
      <c r="B104" s="62" t="s">
        <v>2739</v>
      </c>
      <c r="C104" s="62" t="s">
        <v>2740</v>
      </c>
      <c r="D104" s="62" t="s">
        <v>2741</v>
      </c>
      <c r="E104" s="62" t="s">
        <v>2735</v>
      </c>
    </row>
    <row r="105" spans="2:5" ht="16.05" customHeight="1" x14ac:dyDescent="0.25">
      <c r="B105" s="62" t="s">
        <v>2739</v>
      </c>
      <c r="C105" s="62" t="s">
        <v>2742</v>
      </c>
      <c r="D105" s="62" t="s">
        <v>2743</v>
      </c>
      <c r="E105" s="62" t="s">
        <v>2744</v>
      </c>
    </row>
    <row r="106" spans="2:5" ht="16.05" customHeight="1" x14ac:dyDescent="0.25">
      <c r="B106" s="62" t="s">
        <v>2739</v>
      </c>
      <c r="C106" s="62" t="s">
        <v>2745</v>
      </c>
      <c r="D106" s="62" t="s">
        <v>2746</v>
      </c>
      <c r="E106" s="62" t="s">
        <v>2747</v>
      </c>
    </row>
    <row r="107" spans="2:5" ht="16.05" customHeight="1" x14ac:dyDescent="0.25">
      <c r="B107" s="62" t="s">
        <v>2739</v>
      </c>
      <c r="C107" s="62" t="s">
        <v>2748</v>
      </c>
      <c r="D107" s="62" t="s">
        <v>2749</v>
      </c>
      <c r="E107" s="62" t="s">
        <v>2750</v>
      </c>
    </row>
    <row r="108" spans="2:5" ht="16.05" customHeight="1" x14ac:dyDescent="0.25">
      <c r="B108" s="62" t="s">
        <v>2739</v>
      </c>
      <c r="C108" s="62" t="s">
        <v>2751</v>
      </c>
      <c r="D108" s="62" t="s">
        <v>2752</v>
      </c>
      <c r="E108" s="62" t="s">
        <v>2750</v>
      </c>
    </row>
    <row r="109" spans="2:5" ht="16.05" customHeight="1" x14ac:dyDescent="0.25">
      <c r="B109" s="62" t="s">
        <v>2739</v>
      </c>
      <c r="C109" s="62" t="s">
        <v>2753</v>
      </c>
      <c r="D109" s="62" t="s">
        <v>2754</v>
      </c>
      <c r="E109" s="62" t="s">
        <v>2755</v>
      </c>
    </row>
    <row r="110" spans="2:5" ht="16.05" customHeight="1" x14ac:dyDescent="0.25">
      <c r="B110" s="62" t="s">
        <v>2756</v>
      </c>
      <c r="C110" s="62" t="s">
        <v>2757</v>
      </c>
      <c r="D110" s="62" t="s">
        <v>2758</v>
      </c>
      <c r="E110" s="62" t="s">
        <v>2750</v>
      </c>
    </row>
    <row r="111" spans="2:5" ht="16.05" customHeight="1" x14ac:dyDescent="0.25">
      <c r="B111" s="62" t="s">
        <v>2756</v>
      </c>
      <c r="C111" s="62" t="s">
        <v>2759</v>
      </c>
      <c r="D111" s="62" t="s">
        <v>2760</v>
      </c>
      <c r="E111" s="62" t="s">
        <v>2761</v>
      </c>
    </row>
    <row r="112" spans="2:5" ht="16.05" customHeight="1" x14ac:dyDescent="0.25">
      <c r="B112" s="62" t="s">
        <v>2756</v>
      </c>
      <c r="C112" s="62" t="s">
        <v>2762</v>
      </c>
      <c r="D112" s="62" t="s">
        <v>2763</v>
      </c>
      <c r="E112" s="62" t="s">
        <v>2750</v>
      </c>
    </row>
    <row r="113" spans="2:5" ht="16.05" customHeight="1" x14ac:dyDescent="0.25">
      <c r="B113" s="62" t="s">
        <v>2756</v>
      </c>
      <c r="C113" s="62" t="s">
        <v>2764</v>
      </c>
      <c r="D113" s="62" t="s">
        <v>2765</v>
      </c>
      <c r="E113" s="62" t="s">
        <v>2766</v>
      </c>
    </row>
    <row r="114" spans="2:5" ht="16.05" customHeight="1" x14ac:dyDescent="0.25">
      <c r="B114" s="62" t="s">
        <v>2756</v>
      </c>
      <c r="C114" s="62" t="s">
        <v>2767</v>
      </c>
      <c r="D114" s="62" t="s">
        <v>2768</v>
      </c>
      <c r="E114" s="62" t="s">
        <v>2769</v>
      </c>
    </row>
    <row r="115" spans="2:5" ht="16.05" customHeight="1" x14ac:dyDescent="0.25">
      <c r="B115" s="62" t="s">
        <v>2756</v>
      </c>
      <c r="C115" s="62" t="s">
        <v>2770</v>
      </c>
      <c r="D115" s="62" t="s">
        <v>2771</v>
      </c>
      <c r="E115" s="62" t="s">
        <v>2761</v>
      </c>
    </row>
    <row r="116" spans="2:5" ht="16.05" customHeight="1" x14ac:dyDescent="0.25">
      <c r="B116" s="62" t="s">
        <v>2772</v>
      </c>
      <c r="C116" s="62" t="s">
        <v>2773</v>
      </c>
      <c r="D116" s="62" t="s">
        <v>2774</v>
      </c>
      <c r="E116" s="62" t="s">
        <v>2775</v>
      </c>
    </row>
    <row r="117" spans="2:5" ht="16.05" customHeight="1" x14ac:dyDescent="0.25">
      <c r="B117" s="62" t="s">
        <v>2772</v>
      </c>
      <c r="C117" s="62" t="s">
        <v>2776</v>
      </c>
      <c r="D117" s="62" t="s">
        <v>2777</v>
      </c>
      <c r="E117" s="62" t="s">
        <v>2750</v>
      </c>
    </row>
    <row r="118" spans="2:5" ht="16.05" customHeight="1" x14ac:dyDescent="0.25">
      <c r="B118" s="62" t="s">
        <v>2772</v>
      </c>
      <c r="C118" s="62" t="s">
        <v>2778</v>
      </c>
      <c r="D118" s="62" t="s">
        <v>2779</v>
      </c>
      <c r="E118" s="62" t="s">
        <v>2726</v>
      </c>
    </row>
    <row r="119" spans="2:5" ht="16.05" customHeight="1" x14ac:dyDescent="0.25">
      <c r="B119" s="62" t="s">
        <v>2780</v>
      </c>
      <c r="C119" s="62" t="s">
        <v>2781</v>
      </c>
      <c r="D119" s="62" t="s">
        <v>2782</v>
      </c>
      <c r="E119" s="62" t="s">
        <v>2726</v>
      </c>
    </row>
    <row r="120" spans="2:5" ht="16.05" customHeight="1" x14ac:dyDescent="0.25">
      <c r="B120" s="62" t="s">
        <v>2780</v>
      </c>
      <c r="C120" s="62" t="s">
        <v>2783</v>
      </c>
      <c r="D120" s="62" t="s">
        <v>2784</v>
      </c>
      <c r="E120" s="62" t="s">
        <v>2766</v>
      </c>
    </row>
    <row r="121" spans="2:5" ht="16.05" customHeight="1" x14ac:dyDescent="0.25">
      <c r="B121" s="62" t="s">
        <v>2785</v>
      </c>
      <c r="C121" s="62" t="s">
        <v>2786</v>
      </c>
      <c r="D121" s="62" t="s">
        <v>2787</v>
      </c>
      <c r="E121" s="62" t="s">
        <v>2769</v>
      </c>
    </row>
    <row r="122" spans="2:5" ht="16.05" customHeight="1" x14ac:dyDescent="0.25">
      <c r="B122" s="62" t="s">
        <v>2785</v>
      </c>
      <c r="C122" s="62" t="s">
        <v>2788</v>
      </c>
      <c r="D122" s="62" t="s">
        <v>2789</v>
      </c>
      <c r="E122" s="62" t="s">
        <v>2769</v>
      </c>
    </row>
    <row r="123" spans="2:5" ht="16.05" customHeight="1" x14ac:dyDescent="0.25">
      <c r="B123" s="62" t="s">
        <v>2785</v>
      </c>
      <c r="C123" s="62" t="s">
        <v>2790</v>
      </c>
      <c r="D123" s="62" t="s">
        <v>2791</v>
      </c>
      <c r="E123" s="62" t="s">
        <v>2769</v>
      </c>
    </row>
    <row r="124" spans="2:5" ht="16.05" customHeight="1" x14ac:dyDescent="0.25">
      <c r="B124" s="62" t="s">
        <v>2785</v>
      </c>
      <c r="C124" s="62" t="s">
        <v>2792</v>
      </c>
      <c r="D124" s="62" t="s">
        <v>2793</v>
      </c>
      <c r="E124" s="62" t="s">
        <v>2794</v>
      </c>
    </row>
    <row r="125" spans="2:5" ht="16.05" customHeight="1" x14ac:dyDescent="0.25">
      <c r="B125" s="62" t="s">
        <v>2785</v>
      </c>
      <c r="C125" s="62" t="s">
        <v>2795</v>
      </c>
      <c r="D125" s="62" t="s">
        <v>2796</v>
      </c>
      <c r="E125" s="62" t="s">
        <v>2794</v>
      </c>
    </row>
    <row r="126" spans="2:5" ht="16.05" customHeight="1" x14ac:dyDescent="0.25">
      <c r="B126" s="62" t="s">
        <v>2797</v>
      </c>
      <c r="C126" s="62" t="s">
        <v>2798</v>
      </c>
      <c r="D126" s="62" t="s">
        <v>2799</v>
      </c>
      <c r="E126" s="62" t="s">
        <v>2750</v>
      </c>
    </row>
    <row r="127" spans="2:5" ht="16.05" customHeight="1" x14ac:dyDescent="0.25">
      <c r="B127" s="62" t="s">
        <v>2797</v>
      </c>
      <c r="C127" s="62" t="s">
        <v>2800</v>
      </c>
      <c r="D127" s="62" t="s">
        <v>2801</v>
      </c>
      <c r="E127" s="62" t="s">
        <v>2755</v>
      </c>
    </row>
    <row r="128" spans="2:5" ht="16.05" customHeight="1" x14ac:dyDescent="0.25">
      <c r="B128" s="62" t="s">
        <v>2797</v>
      </c>
      <c r="C128" s="62" t="s">
        <v>2802</v>
      </c>
      <c r="D128" s="62" t="s">
        <v>2803</v>
      </c>
      <c r="E128" s="62" t="s">
        <v>2744</v>
      </c>
    </row>
  </sheetData>
  <mergeCells count="6">
    <mergeCell ref="B95:E95"/>
    <mergeCell ref="B2:E2"/>
    <mergeCell ref="B8:E8"/>
    <mergeCell ref="B18:E18"/>
    <mergeCell ref="B38:E38"/>
    <mergeCell ref="B77:E77"/>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E75B6"/>
    <pageSetUpPr fitToPage="1"/>
  </sheetPr>
  <dimension ref="B2:G127"/>
  <sheetViews>
    <sheetView showGridLines="0" zoomScale="90" zoomScaleNormal="90" workbookViewId="0"/>
  </sheetViews>
  <sheetFormatPr defaultColWidth="8.6640625" defaultRowHeight="13.8" x14ac:dyDescent="0.25"/>
  <cols>
    <col min="1" max="1" width="8.6640625" style="1"/>
    <col min="2" max="2" width="10" style="1" customWidth="1"/>
    <col min="3" max="3" width="52" style="1" customWidth="1"/>
    <col min="4" max="4" width="18" style="1" customWidth="1"/>
    <col min="5" max="5" width="14" style="1" customWidth="1"/>
    <col min="6" max="6" width="16" style="1" customWidth="1"/>
    <col min="7" max="7" width="86" style="1" customWidth="1"/>
    <col min="8" max="9" width="20" style="1" customWidth="1"/>
    <col min="10" max="11" width="16" style="1" customWidth="1"/>
    <col min="12" max="16384" width="8.6640625" style="1"/>
  </cols>
  <sheetData>
    <row r="2" spans="2:7" ht="16.05" customHeight="1" x14ac:dyDescent="0.25">
      <c r="B2" s="148" t="s">
        <v>2804</v>
      </c>
      <c r="C2" s="148"/>
      <c r="D2" s="148"/>
      <c r="E2" s="148"/>
      <c r="F2" s="148"/>
      <c r="G2" s="148"/>
    </row>
    <row r="3" spans="2:7" ht="16.05" customHeight="1" x14ac:dyDescent="0.25">
      <c r="B3" s="58" t="s">
        <v>2805</v>
      </c>
    </row>
    <row r="4" spans="2:7" ht="16.05" customHeight="1" x14ac:dyDescent="0.25">
      <c r="B4" s="58" t="s">
        <v>2806</v>
      </c>
    </row>
    <row r="5" spans="2:7" ht="16.05" customHeight="1" x14ac:dyDescent="0.25">
      <c r="B5" s="58" t="s">
        <v>2807</v>
      </c>
    </row>
    <row r="6" spans="2:7" ht="16.05" customHeight="1" x14ac:dyDescent="0.25">
      <c r="B6" s="58" t="s">
        <v>2808</v>
      </c>
    </row>
    <row r="7" spans="2:7" ht="16.05" customHeight="1" x14ac:dyDescent="0.25"/>
    <row r="8" spans="2:7" ht="16.05" customHeight="1" x14ac:dyDescent="0.25">
      <c r="B8" s="148" t="s">
        <v>2809</v>
      </c>
      <c r="C8" s="148"/>
      <c r="D8" s="148"/>
      <c r="E8" s="148"/>
      <c r="F8" s="148"/>
      <c r="G8" s="148"/>
    </row>
    <row r="9" spans="2:7" ht="16.05" customHeight="1" x14ac:dyDescent="0.25">
      <c r="B9" s="60" t="s">
        <v>4</v>
      </c>
      <c r="C9" s="60" t="s">
        <v>1093</v>
      </c>
      <c r="D9" s="60" t="s">
        <v>398</v>
      </c>
      <c r="E9" s="60" t="s">
        <v>2810</v>
      </c>
      <c r="F9" s="60" t="s">
        <v>2811</v>
      </c>
      <c r="G9" s="60" t="s">
        <v>1453</v>
      </c>
    </row>
    <row r="10" spans="2:7" ht="16.05" customHeight="1" x14ac:dyDescent="0.25">
      <c r="B10" s="62" t="s">
        <v>578</v>
      </c>
      <c r="C10" s="62" t="s">
        <v>579</v>
      </c>
      <c r="D10" s="62" t="s">
        <v>2812</v>
      </c>
      <c r="E10" s="62" t="s">
        <v>2813</v>
      </c>
      <c r="F10" s="62" t="s">
        <v>2814</v>
      </c>
      <c r="G10" s="62" t="s">
        <v>2815</v>
      </c>
    </row>
    <row r="11" spans="2:7" ht="16.05" customHeight="1" x14ac:dyDescent="0.25">
      <c r="B11" s="62" t="s">
        <v>568</v>
      </c>
      <c r="C11" s="62" t="s">
        <v>569</v>
      </c>
      <c r="D11" s="62" t="s">
        <v>2816</v>
      </c>
      <c r="E11" s="62" t="s">
        <v>2817</v>
      </c>
      <c r="F11" s="62" t="s">
        <v>2814</v>
      </c>
      <c r="G11" s="62" t="s">
        <v>2815</v>
      </c>
    </row>
    <row r="12" spans="2:7" ht="16.05" customHeight="1" x14ac:dyDescent="0.25">
      <c r="B12" s="62" t="s">
        <v>574</v>
      </c>
      <c r="C12" s="62" t="s">
        <v>575</v>
      </c>
      <c r="D12" s="62" t="s">
        <v>2816</v>
      </c>
      <c r="E12" s="62" t="s">
        <v>2817</v>
      </c>
      <c r="F12" s="62" t="s">
        <v>2814</v>
      </c>
      <c r="G12" s="62" t="s">
        <v>2815</v>
      </c>
    </row>
    <row r="13" spans="2:7" ht="16.05" customHeight="1" x14ac:dyDescent="0.25">
      <c r="B13" s="62" t="s">
        <v>588</v>
      </c>
      <c r="C13" s="62" t="s">
        <v>589</v>
      </c>
      <c r="D13" s="62" t="s">
        <v>2816</v>
      </c>
      <c r="E13" s="62" t="s">
        <v>2817</v>
      </c>
      <c r="F13" s="62" t="s">
        <v>2814</v>
      </c>
      <c r="G13" s="62" t="s">
        <v>2815</v>
      </c>
    </row>
    <row r="14" spans="2:7" ht="16.05" customHeight="1" x14ac:dyDescent="0.25">
      <c r="B14" s="62" t="s">
        <v>582</v>
      </c>
      <c r="C14" s="62" t="s">
        <v>2818</v>
      </c>
      <c r="D14" s="62" t="s">
        <v>2819</v>
      </c>
      <c r="E14" s="62" t="s">
        <v>2820</v>
      </c>
      <c r="F14" s="62" t="s">
        <v>2814</v>
      </c>
      <c r="G14" s="62" t="s">
        <v>2815</v>
      </c>
    </row>
    <row r="15" spans="2:7" ht="16.05" customHeight="1" x14ac:dyDescent="0.25">
      <c r="B15" s="62" t="s">
        <v>561</v>
      </c>
      <c r="C15" s="62" t="s">
        <v>562</v>
      </c>
      <c r="D15" s="62" t="s">
        <v>2821</v>
      </c>
      <c r="E15" s="62" t="s">
        <v>2822</v>
      </c>
      <c r="F15" s="62" t="s">
        <v>2814</v>
      </c>
      <c r="G15" s="62" t="s">
        <v>2815</v>
      </c>
    </row>
    <row r="16" spans="2:7" ht="16.05" customHeight="1" x14ac:dyDescent="0.25">
      <c r="B16" s="62" t="s">
        <v>592</v>
      </c>
      <c r="C16" s="62" t="s">
        <v>2823</v>
      </c>
      <c r="D16" s="62" t="s">
        <v>2824</v>
      </c>
      <c r="E16" s="62" t="s">
        <v>2825</v>
      </c>
      <c r="F16" s="62" t="s">
        <v>2814</v>
      </c>
      <c r="G16" s="62" t="s">
        <v>2815</v>
      </c>
    </row>
    <row r="17" spans="2:7" ht="16.05" customHeight="1" x14ac:dyDescent="0.25">
      <c r="B17" s="62" t="s">
        <v>571</v>
      </c>
      <c r="C17" s="62" t="s">
        <v>572</v>
      </c>
      <c r="D17" s="62" t="s">
        <v>2826</v>
      </c>
      <c r="E17" s="62" t="s">
        <v>2827</v>
      </c>
      <c r="F17" s="62" t="s">
        <v>2814</v>
      </c>
      <c r="G17" s="62" t="s">
        <v>2815</v>
      </c>
    </row>
    <row r="18" spans="2:7" ht="16.05" customHeight="1" x14ac:dyDescent="0.25">
      <c r="B18" s="62" t="s">
        <v>551</v>
      </c>
      <c r="C18" s="62" t="s">
        <v>552</v>
      </c>
      <c r="D18" s="62" t="s">
        <v>2828</v>
      </c>
      <c r="E18" s="62" t="s">
        <v>2829</v>
      </c>
      <c r="F18" s="62" t="s">
        <v>2814</v>
      </c>
      <c r="G18" s="62" t="s">
        <v>2815</v>
      </c>
    </row>
    <row r="19" spans="2:7" ht="16.05" customHeight="1" x14ac:dyDescent="0.25">
      <c r="B19" s="62" t="s">
        <v>585</v>
      </c>
      <c r="C19" s="62" t="s">
        <v>586</v>
      </c>
      <c r="D19" s="62" t="s">
        <v>2828</v>
      </c>
      <c r="E19" s="62" t="s">
        <v>2829</v>
      </c>
      <c r="F19" s="62" t="s">
        <v>2814</v>
      </c>
      <c r="G19" s="62" t="s">
        <v>2815</v>
      </c>
    </row>
    <row r="20" spans="2:7" ht="16.05" customHeight="1" x14ac:dyDescent="0.25">
      <c r="B20" s="62" t="s">
        <v>595</v>
      </c>
      <c r="C20" s="62" t="s">
        <v>596</v>
      </c>
      <c r="D20" s="62" t="s">
        <v>2830</v>
      </c>
      <c r="E20" s="62" t="s">
        <v>2831</v>
      </c>
      <c r="F20" s="62" t="s">
        <v>2814</v>
      </c>
      <c r="G20" s="62" t="s">
        <v>2815</v>
      </c>
    </row>
    <row r="21" spans="2:7" ht="16.05" customHeight="1" x14ac:dyDescent="0.25">
      <c r="B21" s="62" t="s">
        <v>565</v>
      </c>
      <c r="C21" s="62" t="s">
        <v>2832</v>
      </c>
      <c r="D21" s="62" t="s">
        <v>2833</v>
      </c>
      <c r="E21" s="62" t="s">
        <v>2834</v>
      </c>
      <c r="F21" s="62" t="s">
        <v>2814</v>
      </c>
      <c r="G21" s="62" t="s">
        <v>2815</v>
      </c>
    </row>
    <row r="22" spans="2:7" ht="16.05" customHeight="1" x14ac:dyDescent="0.25">
      <c r="B22" s="62" t="s">
        <v>555</v>
      </c>
      <c r="C22" s="62" t="s">
        <v>556</v>
      </c>
      <c r="D22" s="62" t="s">
        <v>2835</v>
      </c>
      <c r="E22" s="62" t="s">
        <v>2836</v>
      </c>
      <c r="F22" s="62" t="s">
        <v>2814</v>
      </c>
      <c r="G22" s="62" t="s">
        <v>2815</v>
      </c>
    </row>
    <row r="23" spans="2:7" ht="16.05" customHeight="1" x14ac:dyDescent="0.25">
      <c r="B23" s="62" t="s">
        <v>558</v>
      </c>
      <c r="C23" s="62" t="s">
        <v>559</v>
      </c>
      <c r="D23" s="62" t="s">
        <v>2835</v>
      </c>
      <c r="E23" s="62" t="s">
        <v>2836</v>
      </c>
      <c r="F23" s="62" t="s">
        <v>2814</v>
      </c>
      <c r="G23" s="62" t="s">
        <v>2815</v>
      </c>
    </row>
    <row r="24" spans="2:7" ht="16.05" customHeight="1" x14ac:dyDescent="0.25">
      <c r="B24" s="62" t="s">
        <v>598</v>
      </c>
      <c r="C24" s="62" t="s">
        <v>599</v>
      </c>
      <c r="D24" s="62" t="s">
        <v>2837</v>
      </c>
      <c r="E24" s="62" t="s">
        <v>2838</v>
      </c>
      <c r="F24" s="62" t="s">
        <v>2814</v>
      </c>
      <c r="G24" s="62" t="s">
        <v>2815</v>
      </c>
    </row>
    <row r="25" spans="2:7" ht="16.05" customHeight="1" x14ac:dyDescent="0.25">
      <c r="C25" s="60" t="s">
        <v>2839</v>
      </c>
      <c r="D25" s="60" t="s">
        <v>2840</v>
      </c>
      <c r="E25" s="60" t="s">
        <v>2841</v>
      </c>
      <c r="G25" s="60" t="s">
        <v>2842</v>
      </c>
    </row>
    <row r="26" spans="2:7" ht="16.05" customHeight="1" x14ac:dyDescent="0.25"/>
    <row r="27" spans="2:7" ht="16.05" customHeight="1" x14ac:dyDescent="0.25">
      <c r="B27" s="60" t="s">
        <v>4</v>
      </c>
      <c r="C27" s="60" t="s">
        <v>2843</v>
      </c>
      <c r="D27" s="60" t="s">
        <v>2844</v>
      </c>
      <c r="E27" s="60" t="s">
        <v>2810</v>
      </c>
      <c r="F27" s="60" t="s">
        <v>2811</v>
      </c>
      <c r="G27" s="60" t="s">
        <v>2845</v>
      </c>
    </row>
    <row r="28" spans="2:7" ht="16.05" customHeight="1" x14ac:dyDescent="0.25">
      <c r="B28" s="62" t="s">
        <v>1094</v>
      </c>
      <c r="C28" s="62" t="s">
        <v>1095</v>
      </c>
      <c r="D28" s="62" t="s">
        <v>2846</v>
      </c>
      <c r="E28" s="62" t="s">
        <v>2847</v>
      </c>
      <c r="F28" s="62" t="s">
        <v>2848</v>
      </c>
      <c r="G28" s="62" t="s">
        <v>2849</v>
      </c>
    </row>
    <row r="29" spans="2:7" ht="16.05" customHeight="1" x14ac:dyDescent="0.25">
      <c r="B29" s="62" t="s">
        <v>1099</v>
      </c>
      <c r="C29" s="62" t="s">
        <v>624</v>
      </c>
      <c r="D29" s="62" t="s">
        <v>2850</v>
      </c>
      <c r="E29" s="62" t="s">
        <v>2851</v>
      </c>
      <c r="F29" s="62" t="s">
        <v>2852</v>
      </c>
      <c r="G29" s="62" t="s">
        <v>2853</v>
      </c>
    </row>
    <row r="30" spans="2:7" ht="16.05" customHeight="1" x14ac:dyDescent="0.25">
      <c r="B30" s="62" t="s">
        <v>1101</v>
      </c>
      <c r="C30" s="62" t="s">
        <v>628</v>
      </c>
      <c r="D30" s="62" t="s">
        <v>2854</v>
      </c>
      <c r="E30" s="62" t="s">
        <v>2855</v>
      </c>
      <c r="F30" s="62" t="s">
        <v>2852</v>
      </c>
      <c r="G30" s="62" t="s">
        <v>2856</v>
      </c>
    </row>
    <row r="31" spans="2:7" ht="16.05" customHeight="1" x14ac:dyDescent="0.25">
      <c r="B31" s="62" t="s">
        <v>1103</v>
      </c>
      <c r="C31" s="62" t="s">
        <v>632</v>
      </c>
      <c r="D31" s="62" t="s">
        <v>2837</v>
      </c>
      <c r="E31" s="62" t="s">
        <v>2857</v>
      </c>
      <c r="F31" s="62" t="s">
        <v>2852</v>
      </c>
      <c r="G31" s="62" t="s">
        <v>2858</v>
      </c>
    </row>
    <row r="32" spans="2:7" ht="16.05" customHeight="1" x14ac:dyDescent="0.25">
      <c r="B32" s="62" t="s">
        <v>1097</v>
      </c>
      <c r="C32" s="62" t="s">
        <v>202</v>
      </c>
      <c r="D32" s="62" t="s">
        <v>2859</v>
      </c>
      <c r="E32" s="62" t="s">
        <v>2860</v>
      </c>
      <c r="F32" s="62" t="s">
        <v>2848</v>
      </c>
      <c r="G32" s="62" t="s">
        <v>2861</v>
      </c>
    </row>
    <row r="33" spans="2:7" ht="16.05" customHeight="1" x14ac:dyDescent="0.25">
      <c r="B33" s="62" t="s">
        <v>1105</v>
      </c>
      <c r="C33" s="62" t="s">
        <v>635</v>
      </c>
      <c r="D33" s="62" t="s">
        <v>2862</v>
      </c>
      <c r="E33" s="62" t="s">
        <v>2863</v>
      </c>
      <c r="F33" s="62" t="s">
        <v>2852</v>
      </c>
      <c r="G33" s="62" t="s">
        <v>2858</v>
      </c>
    </row>
    <row r="34" spans="2:7" ht="16.05" customHeight="1" x14ac:dyDescent="0.25">
      <c r="C34" s="60" t="s">
        <v>2864</v>
      </c>
      <c r="D34" s="60" t="s">
        <v>2865</v>
      </c>
      <c r="E34" s="60" t="s">
        <v>2841</v>
      </c>
      <c r="G34" s="60" t="s">
        <v>2866</v>
      </c>
    </row>
    <row r="35" spans="2:7" ht="16.05" customHeight="1" x14ac:dyDescent="0.25"/>
    <row r="36" spans="2:7" ht="16.05" customHeight="1" x14ac:dyDescent="0.25">
      <c r="B36" s="58" t="s">
        <v>2867</v>
      </c>
    </row>
    <row r="37" spans="2:7" ht="16.05" customHeight="1" x14ac:dyDescent="0.25"/>
    <row r="38" spans="2:7" ht="16.05" customHeight="1" x14ac:dyDescent="0.25">
      <c r="B38" s="148" t="s">
        <v>2868</v>
      </c>
      <c r="C38" s="148"/>
      <c r="D38" s="148"/>
      <c r="E38" s="148"/>
      <c r="F38" s="148"/>
      <c r="G38" s="148"/>
    </row>
    <row r="39" spans="2:7" ht="16.05" customHeight="1" x14ac:dyDescent="0.25">
      <c r="B39" s="60" t="s">
        <v>2869</v>
      </c>
      <c r="C39" s="60" t="s">
        <v>2870</v>
      </c>
      <c r="D39" s="60" t="s">
        <v>2871</v>
      </c>
      <c r="E39" s="60" t="s">
        <v>2872</v>
      </c>
      <c r="F39" s="60" t="s">
        <v>2434</v>
      </c>
    </row>
    <row r="40" spans="2:7" ht="16.05" customHeight="1" x14ac:dyDescent="0.25">
      <c r="B40" s="62" t="s">
        <v>2873</v>
      </c>
      <c r="C40" s="62" t="s">
        <v>2874</v>
      </c>
      <c r="D40" s="62" t="s">
        <v>2875</v>
      </c>
      <c r="E40" s="62" t="s">
        <v>2876</v>
      </c>
      <c r="F40" s="62" t="s">
        <v>2877</v>
      </c>
    </row>
    <row r="41" spans="2:7" ht="16.05" customHeight="1" x14ac:dyDescent="0.25">
      <c r="B41" s="62" t="s">
        <v>2878</v>
      </c>
      <c r="C41" s="62" t="s">
        <v>2879</v>
      </c>
      <c r="D41" s="62" t="s">
        <v>2880</v>
      </c>
      <c r="E41" s="62" t="s">
        <v>2881</v>
      </c>
      <c r="F41" s="62" t="s">
        <v>2882</v>
      </c>
    </row>
    <row r="42" spans="2:7" ht="16.05" customHeight="1" x14ac:dyDescent="0.25">
      <c r="B42" s="62" t="s">
        <v>2883</v>
      </c>
      <c r="C42" s="62" t="s">
        <v>2884</v>
      </c>
      <c r="D42" s="62" t="s">
        <v>2885</v>
      </c>
      <c r="E42" s="62" t="s">
        <v>2886</v>
      </c>
      <c r="F42" s="62" t="s">
        <v>2887</v>
      </c>
    </row>
    <row r="43" spans="2:7" ht="16.05" customHeight="1" x14ac:dyDescent="0.25">
      <c r="B43" s="62" t="s">
        <v>2888</v>
      </c>
      <c r="C43" s="62" t="s">
        <v>2889</v>
      </c>
      <c r="D43" s="62" t="s">
        <v>2890</v>
      </c>
      <c r="E43" s="62" t="s">
        <v>2891</v>
      </c>
      <c r="F43" s="62" t="s">
        <v>2892</v>
      </c>
    </row>
    <row r="44" spans="2:7" ht="16.05" customHeight="1" x14ac:dyDescent="0.25">
      <c r="B44" s="62" t="s">
        <v>2893</v>
      </c>
      <c r="C44" s="62" t="s">
        <v>2894</v>
      </c>
      <c r="D44" s="62" t="s">
        <v>2895</v>
      </c>
      <c r="E44" s="62" t="s">
        <v>2896</v>
      </c>
      <c r="F44" s="62" t="s">
        <v>2897</v>
      </c>
    </row>
    <row r="45" spans="2:7" ht="16.05" customHeight="1" x14ac:dyDescent="0.25">
      <c r="B45" s="62" t="s">
        <v>2898</v>
      </c>
      <c r="C45" s="62" t="s">
        <v>2899</v>
      </c>
      <c r="D45" s="62" t="s">
        <v>2900</v>
      </c>
      <c r="E45" s="62" t="s">
        <v>2901</v>
      </c>
      <c r="F45" s="62" t="s">
        <v>2902</v>
      </c>
    </row>
    <row r="46" spans="2:7" ht="16.05" customHeight="1" x14ac:dyDescent="0.25">
      <c r="B46" s="62" t="s">
        <v>2903</v>
      </c>
      <c r="C46" s="62" t="s">
        <v>2904</v>
      </c>
      <c r="D46" s="62" t="s">
        <v>2905</v>
      </c>
      <c r="E46" s="62" t="s">
        <v>2906</v>
      </c>
      <c r="F46" s="62" t="s">
        <v>2907</v>
      </c>
    </row>
    <row r="47" spans="2:7" ht="16.05" customHeight="1" x14ac:dyDescent="0.25">
      <c r="B47" s="62" t="s">
        <v>2908</v>
      </c>
      <c r="C47" s="62" t="s">
        <v>2909</v>
      </c>
      <c r="D47" s="62" t="s">
        <v>2905</v>
      </c>
      <c r="E47" s="62" t="s">
        <v>2910</v>
      </c>
      <c r="F47" s="62" t="s">
        <v>2907</v>
      </c>
    </row>
    <row r="48" spans="2:7" ht="16.05" customHeight="1" x14ac:dyDescent="0.25">
      <c r="B48" s="62" t="s">
        <v>2911</v>
      </c>
      <c r="C48" s="62" t="s">
        <v>2912</v>
      </c>
      <c r="D48" s="62" t="s">
        <v>1094</v>
      </c>
      <c r="E48" s="62" t="s">
        <v>2913</v>
      </c>
      <c r="F48" s="62" t="s">
        <v>2914</v>
      </c>
    </row>
    <row r="49" spans="2:7" ht="16.05" customHeight="1" x14ac:dyDescent="0.25"/>
    <row r="50" spans="2:7" ht="16.05" customHeight="1" x14ac:dyDescent="0.25">
      <c r="B50" s="148" t="s">
        <v>2915</v>
      </c>
      <c r="C50" s="148"/>
      <c r="D50" s="148"/>
      <c r="E50" s="148"/>
      <c r="F50" s="148"/>
      <c r="G50" s="148"/>
    </row>
    <row r="51" spans="2:7" ht="16.05" customHeight="1" x14ac:dyDescent="0.25">
      <c r="B51" s="60" t="s">
        <v>7</v>
      </c>
      <c r="C51" s="60" t="s">
        <v>2916</v>
      </c>
      <c r="D51" s="60" t="s">
        <v>2917</v>
      </c>
      <c r="E51" s="60" t="s">
        <v>2918</v>
      </c>
      <c r="F51" s="60" t="s">
        <v>2919</v>
      </c>
    </row>
    <row r="52" spans="2:7" ht="16.05" customHeight="1" x14ac:dyDescent="0.25">
      <c r="B52" s="62" t="s">
        <v>2920</v>
      </c>
      <c r="C52" s="62" t="s">
        <v>2921</v>
      </c>
      <c r="D52" s="62" t="s">
        <v>2846</v>
      </c>
      <c r="E52" s="62" t="s">
        <v>2922</v>
      </c>
      <c r="F52" s="62" t="s">
        <v>2923</v>
      </c>
    </row>
    <row r="53" spans="2:7" ht="16.05" customHeight="1" x14ac:dyDescent="0.25">
      <c r="B53" s="62" t="s">
        <v>2924</v>
      </c>
      <c r="C53" s="62" t="s">
        <v>2925</v>
      </c>
      <c r="D53" s="62" t="s">
        <v>2926</v>
      </c>
      <c r="E53" s="62" t="s">
        <v>2927</v>
      </c>
      <c r="F53" s="62" t="s">
        <v>2928</v>
      </c>
    </row>
    <row r="54" spans="2:7" ht="16.05" customHeight="1" x14ac:dyDescent="0.25">
      <c r="B54" s="62" t="s">
        <v>2929</v>
      </c>
      <c r="C54" s="62" t="s">
        <v>2930</v>
      </c>
      <c r="D54" s="62" t="s">
        <v>2931</v>
      </c>
      <c r="E54" s="62" t="s">
        <v>2932</v>
      </c>
      <c r="F54" s="62" t="s">
        <v>2933</v>
      </c>
    </row>
    <row r="55" spans="2:7" ht="16.05" customHeight="1" x14ac:dyDescent="0.25">
      <c r="B55" s="62" t="s">
        <v>2934</v>
      </c>
      <c r="C55" s="62" t="s">
        <v>2935</v>
      </c>
      <c r="D55" s="62" t="s">
        <v>2936</v>
      </c>
      <c r="E55" s="62" t="s">
        <v>2932</v>
      </c>
      <c r="F55" s="62" t="s">
        <v>2933</v>
      </c>
    </row>
    <row r="56" spans="2:7" ht="16.05" customHeight="1" x14ac:dyDescent="0.25">
      <c r="B56" s="62" t="s">
        <v>2937</v>
      </c>
      <c r="C56" s="62" t="s">
        <v>2938</v>
      </c>
      <c r="D56" s="62" t="s">
        <v>2939</v>
      </c>
      <c r="E56" s="62" t="s">
        <v>2940</v>
      </c>
      <c r="F56" s="62" t="s">
        <v>2933</v>
      </c>
    </row>
    <row r="57" spans="2:7" ht="16.05" customHeight="1" x14ac:dyDescent="0.25"/>
    <row r="58" spans="2:7" ht="16.05" customHeight="1" x14ac:dyDescent="0.25">
      <c r="B58" s="58" t="s">
        <v>2941</v>
      </c>
    </row>
    <row r="59" spans="2:7" ht="16.05" customHeight="1" x14ac:dyDescent="0.25"/>
    <row r="60" spans="2:7" ht="16.05" customHeight="1" x14ac:dyDescent="0.25">
      <c r="B60" s="60" t="s">
        <v>2942</v>
      </c>
    </row>
    <row r="61" spans="2:7" ht="16.05" customHeight="1" x14ac:dyDescent="0.25">
      <c r="B61" s="62" t="s">
        <v>365</v>
      </c>
      <c r="C61" s="62" t="s">
        <v>2943</v>
      </c>
      <c r="D61" s="62" t="s">
        <v>2944</v>
      </c>
    </row>
    <row r="62" spans="2:7" ht="16.05" customHeight="1" x14ac:dyDescent="0.25">
      <c r="B62" s="62" t="s">
        <v>367</v>
      </c>
      <c r="C62" s="62" t="s">
        <v>2945</v>
      </c>
      <c r="D62" s="62" t="s">
        <v>2946</v>
      </c>
    </row>
    <row r="63" spans="2:7" ht="16.05" customHeight="1" x14ac:dyDescent="0.25">
      <c r="B63" s="62" t="s">
        <v>369</v>
      </c>
      <c r="C63" s="62" t="s">
        <v>2947</v>
      </c>
      <c r="D63" s="62" t="s">
        <v>2948</v>
      </c>
    </row>
    <row r="64" spans="2:7" ht="16.05" customHeight="1" x14ac:dyDescent="0.25"/>
    <row r="65" spans="2:7" ht="16.05" customHeight="1" x14ac:dyDescent="0.25">
      <c r="B65" s="58" t="s">
        <v>2949</v>
      </c>
    </row>
    <row r="66" spans="2:7" ht="16.05" customHeight="1" x14ac:dyDescent="0.25"/>
    <row r="67" spans="2:7" ht="16.05" customHeight="1" x14ac:dyDescent="0.25">
      <c r="B67" s="148" t="s">
        <v>2950</v>
      </c>
      <c r="C67" s="148"/>
      <c r="D67" s="148"/>
      <c r="E67" s="148"/>
      <c r="F67" s="148"/>
      <c r="G67" s="148"/>
    </row>
    <row r="68" spans="2:7" ht="16.05" customHeight="1" x14ac:dyDescent="0.25">
      <c r="B68" s="58" t="s">
        <v>2951</v>
      </c>
    </row>
    <row r="69" spans="2:7" ht="16.05" customHeight="1" x14ac:dyDescent="0.25">
      <c r="B69" s="60" t="s">
        <v>232</v>
      </c>
      <c r="C69" s="60" t="s">
        <v>2952</v>
      </c>
      <c r="D69" s="60" t="s">
        <v>2953</v>
      </c>
      <c r="E69" s="60" t="s">
        <v>2954</v>
      </c>
      <c r="F69" s="60" t="s">
        <v>7</v>
      </c>
    </row>
    <row r="70" spans="2:7" ht="16.05" customHeight="1" x14ac:dyDescent="0.25">
      <c r="B70" s="62" t="s">
        <v>2955</v>
      </c>
      <c r="C70" s="62" t="s">
        <v>2956</v>
      </c>
      <c r="D70" s="62" t="s">
        <v>2957</v>
      </c>
      <c r="E70" s="62" t="s">
        <v>2958</v>
      </c>
      <c r="F70" s="62" t="s">
        <v>2959</v>
      </c>
    </row>
    <row r="71" spans="2:7" ht="16.05" customHeight="1" x14ac:dyDescent="0.25">
      <c r="B71" s="62" t="s">
        <v>2960</v>
      </c>
      <c r="C71" s="62" t="s">
        <v>2888</v>
      </c>
      <c r="D71" s="62" t="s">
        <v>2908</v>
      </c>
      <c r="E71" s="62" t="s">
        <v>2961</v>
      </c>
      <c r="F71" s="62" t="s">
        <v>2962</v>
      </c>
    </row>
    <row r="72" spans="2:7" ht="16.05" customHeight="1" x14ac:dyDescent="0.25">
      <c r="B72" s="62" t="s">
        <v>2963</v>
      </c>
      <c r="C72" s="62" t="s">
        <v>2964</v>
      </c>
      <c r="D72" s="62" t="s">
        <v>2965</v>
      </c>
      <c r="E72" s="62" t="s">
        <v>2966</v>
      </c>
      <c r="F72" s="62" t="s">
        <v>2967</v>
      </c>
    </row>
    <row r="73" spans="2:7" ht="16.05" customHeight="1" x14ac:dyDescent="0.25">
      <c r="B73" s="62" t="s">
        <v>2968</v>
      </c>
      <c r="C73" s="62" t="s">
        <v>2969</v>
      </c>
      <c r="D73" s="62" t="s">
        <v>2970</v>
      </c>
      <c r="E73" s="62" t="s">
        <v>2971</v>
      </c>
      <c r="F73" s="62" t="s">
        <v>2972</v>
      </c>
    </row>
    <row r="74" spans="2:7" ht="16.05" customHeight="1" x14ac:dyDescent="0.25">
      <c r="B74" s="62" t="s">
        <v>2973</v>
      </c>
      <c r="C74" s="62" t="s">
        <v>2974</v>
      </c>
      <c r="D74" s="62" t="s">
        <v>2975</v>
      </c>
      <c r="E74" s="62" t="s">
        <v>2965</v>
      </c>
      <c r="F74" s="62" t="s">
        <v>2976</v>
      </c>
    </row>
    <row r="75" spans="2:7" ht="16.05" customHeight="1" x14ac:dyDescent="0.25">
      <c r="B75" s="62" t="s">
        <v>2977</v>
      </c>
      <c r="C75" s="62" t="s">
        <v>2969</v>
      </c>
      <c r="D75" s="62" t="s">
        <v>2978</v>
      </c>
      <c r="E75" s="62" t="s">
        <v>2971</v>
      </c>
      <c r="F75" s="62" t="s">
        <v>2979</v>
      </c>
    </row>
    <row r="76" spans="2:7" ht="16.05" customHeight="1" x14ac:dyDescent="0.25">
      <c r="B76" s="62" t="s">
        <v>2980</v>
      </c>
      <c r="C76" s="62" t="s">
        <v>2981</v>
      </c>
      <c r="D76" s="62" t="s">
        <v>2982</v>
      </c>
      <c r="E76" s="62" t="s">
        <v>2983</v>
      </c>
      <c r="F76" s="62" t="s">
        <v>2984</v>
      </c>
    </row>
    <row r="77" spans="2:7" ht="16.05" customHeight="1" x14ac:dyDescent="0.25"/>
    <row r="78" spans="2:7" ht="16.05" customHeight="1" x14ac:dyDescent="0.25">
      <c r="B78" s="60" t="s">
        <v>52</v>
      </c>
      <c r="C78" s="60" t="s">
        <v>2985</v>
      </c>
      <c r="D78" s="60" t="s">
        <v>2986</v>
      </c>
      <c r="E78" s="60" t="s">
        <v>2987</v>
      </c>
      <c r="F78" s="60" t="s">
        <v>2988</v>
      </c>
      <c r="G78" s="60" t="s">
        <v>2989</v>
      </c>
    </row>
    <row r="79" spans="2:7" ht="16.05" customHeight="1" x14ac:dyDescent="0.25">
      <c r="B79" s="62" t="s">
        <v>2952</v>
      </c>
      <c r="C79" s="62" t="s">
        <v>2925</v>
      </c>
      <c r="D79" s="62" t="s">
        <v>2926</v>
      </c>
      <c r="E79" s="62" t="s">
        <v>2990</v>
      </c>
      <c r="F79" s="62" t="s">
        <v>2991</v>
      </c>
      <c r="G79" s="62" t="s">
        <v>2992</v>
      </c>
    </row>
    <row r="80" spans="2:7" ht="16.05" customHeight="1" x14ac:dyDescent="0.25">
      <c r="B80" s="62" t="s">
        <v>2953</v>
      </c>
      <c r="C80" s="62" t="s">
        <v>2930</v>
      </c>
      <c r="D80" s="62" t="s">
        <v>2931</v>
      </c>
      <c r="E80" s="62" t="s">
        <v>2938</v>
      </c>
      <c r="F80" s="62" t="s">
        <v>2939</v>
      </c>
      <c r="G80" s="62" t="s">
        <v>2993</v>
      </c>
    </row>
    <row r="81" spans="2:7" ht="16.05" customHeight="1" x14ac:dyDescent="0.25">
      <c r="B81" s="62" t="s">
        <v>2954</v>
      </c>
      <c r="C81" s="62" t="s">
        <v>2935</v>
      </c>
      <c r="D81" s="62" t="s">
        <v>2936</v>
      </c>
      <c r="E81" s="62" t="s">
        <v>2994</v>
      </c>
      <c r="F81" s="62" t="s">
        <v>2995</v>
      </c>
      <c r="G81" s="62" t="s">
        <v>2996</v>
      </c>
    </row>
    <row r="82" spans="2:7" ht="16.05" customHeight="1" x14ac:dyDescent="0.25">
      <c r="B82" s="62" t="s">
        <v>2997</v>
      </c>
      <c r="C82" s="62" t="s">
        <v>2683</v>
      </c>
      <c r="D82" s="62" t="s">
        <v>2683</v>
      </c>
      <c r="E82" s="62" t="s">
        <v>2683</v>
      </c>
      <c r="F82" s="62" t="s">
        <v>2683</v>
      </c>
      <c r="G82" s="62" t="s">
        <v>2205</v>
      </c>
    </row>
    <row r="83" spans="2:7" ht="16.05" customHeight="1" x14ac:dyDescent="0.25"/>
    <row r="84" spans="2:7" ht="16.05" customHeight="1" x14ac:dyDescent="0.25">
      <c r="B84" s="58" t="s">
        <v>2998</v>
      </c>
    </row>
    <row r="85" spans="2:7" ht="16.05" customHeight="1" x14ac:dyDescent="0.25"/>
    <row r="86" spans="2:7" ht="16.05" customHeight="1" x14ac:dyDescent="0.25">
      <c r="B86" s="60" t="s">
        <v>2999</v>
      </c>
    </row>
    <row r="87" spans="2:7" ht="16.05" customHeight="1" x14ac:dyDescent="0.25">
      <c r="B87" s="60" t="s">
        <v>3000</v>
      </c>
      <c r="C87" s="60" t="s">
        <v>2916</v>
      </c>
      <c r="D87" s="60" t="s">
        <v>3001</v>
      </c>
      <c r="E87" s="60" t="s">
        <v>3002</v>
      </c>
    </row>
    <row r="88" spans="2:7" ht="16.05" customHeight="1" x14ac:dyDescent="0.25">
      <c r="B88" s="62" t="s">
        <v>3003</v>
      </c>
      <c r="C88" s="62" t="s">
        <v>3004</v>
      </c>
      <c r="D88" s="62" t="s">
        <v>3005</v>
      </c>
      <c r="E88" s="62" t="s">
        <v>3006</v>
      </c>
    </row>
    <row r="89" spans="2:7" ht="16.05" customHeight="1" x14ac:dyDescent="0.25">
      <c r="B89" s="62" t="s">
        <v>3007</v>
      </c>
      <c r="C89" s="62" t="s">
        <v>3008</v>
      </c>
      <c r="D89" s="62" t="s">
        <v>3009</v>
      </c>
      <c r="E89" s="62" t="s">
        <v>3010</v>
      </c>
    </row>
    <row r="90" spans="2:7" ht="16.05" customHeight="1" x14ac:dyDescent="0.25">
      <c r="B90" s="62" t="s">
        <v>3011</v>
      </c>
      <c r="C90" s="62" t="s">
        <v>3012</v>
      </c>
      <c r="D90" s="62" t="s">
        <v>3013</v>
      </c>
      <c r="E90" s="62" t="s">
        <v>3014</v>
      </c>
    </row>
    <row r="91" spans="2:7" ht="16.05" customHeight="1" x14ac:dyDescent="0.25">
      <c r="B91" s="62" t="s">
        <v>3015</v>
      </c>
      <c r="C91" s="62" t="s">
        <v>3016</v>
      </c>
      <c r="D91" s="62" t="s">
        <v>3017</v>
      </c>
      <c r="E91" s="62" t="s">
        <v>3018</v>
      </c>
    </row>
    <row r="92" spans="2:7" ht="16.05" customHeight="1" x14ac:dyDescent="0.25"/>
    <row r="93" spans="2:7" ht="16.05" customHeight="1" x14ac:dyDescent="0.25">
      <c r="B93" s="58" t="s">
        <v>3019</v>
      </c>
    </row>
    <row r="94" spans="2:7" ht="16.05" customHeight="1" x14ac:dyDescent="0.25">
      <c r="B94" s="58" t="s">
        <v>3020</v>
      </c>
    </row>
    <row r="95" spans="2:7" ht="16.05" customHeight="1" x14ac:dyDescent="0.25"/>
    <row r="96" spans="2:7" ht="16.05" customHeight="1" x14ac:dyDescent="0.25">
      <c r="B96" s="148" t="s">
        <v>3021</v>
      </c>
      <c r="C96" s="148"/>
      <c r="D96" s="148"/>
      <c r="E96" s="148"/>
      <c r="F96" s="148"/>
      <c r="G96" s="148"/>
    </row>
    <row r="97" spans="2:7" ht="16.05" customHeight="1" x14ac:dyDescent="0.25">
      <c r="B97" s="60" t="s">
        <v>148</v>
      </c>
      <c r="C97" s="60" t="s">
        <v>3022</v>
      </c>
      <c r="D97" s="60" t="s">
        <v>3023</v>
      </c>
      <c r="E97" s="60" t="s">
        <v>3024</v>
      </c>
      <c r="F97" s="60" t="s">
        <v>7</v>
      </c>
    </row>
    <row r="98" spans="2:7" ht="16.05" customHeight="1" x14ac:dyDescent="0.25">
      <c r="B98" s="62" t="s">
        <v>3025</v>
      </c>
      <c r="C98" s="62" t="s">
        <v>2865</v>
      </c>
      <c r="D98" s="62" t="s">
        <v>3026</v>
      </c>
      <c r="E98" s="62" t="s">
        <v>3027</v>
      </c>
      <c r="F98" s="62" t="s">
        <v>3028</v>
      </c>
    </row>
    <row r="99" spans="2:7" ht="16.05" customHeight="1" x14ac:dyDescent="0.25">
      <c r="B99" s="62" t="s">
        <v>3029</v>
      </c>
      <c r="C99" s="62" t="s">
        <v>3030</v>
      </c>
      <c r="D99" s="62" t="s">
        <v>3031</v>
      </c>
      <c r="E99" s="62" t="s">
        <v>3032</v>
      </c>
      <c r="F99" s="62" t="s">
        <v>3033</v>
      </c>
    </row>
    <row r="100" spans="2:7" ht="16.05" customHeight="1" x14ac:dyDescent="0.25">
      <c r="B100" s="62" t="s">
        <v>3034</v>
      </c>
      <c r="C100" s="62" t="s">
        <v>3035</v>
      </c>
      <c r="D100" s="62" t="s">
        <v>3036</v>
      </c>
      <c r="E100" s="62" t="s">
        <v>3037</v>
      </c>
      <c r="F100" s="62" t="s">
        <v>3038</v>
      </c>
    </row>
    <row r="101" spans="2:7" ht="16.05" customHeight="1" x14ac:dyDescent="0.25">
      <c r="B101" s="62" t="s">
        <v>3039</v>
      </c>
      <c r="C101" s="62" t="s">
        <v>3040</v>
      </c>
      <c r="D101" s="62" t="s">
        <v>2683</v>
      </c>
      <c r="E101" s="62" t="s">
        <v>2683</v>
      </c>
      <c r="F101" s="62" t="s">
        <v>3041</v>
      </c>
    </row>
    <row r="102" spans="2:7" ht="16.05" customHeight="1" x14ac:dyDescent="0.25"/>
    <row r="103" spans="2:7" ht="16.05" customHeight="1" x14ac:dyDescent="0.25">
      <c r="B103" s="58" t="s">
        <v>3042</v>
      </c>
    </row>
    <row r="104" spans="2:7" ht="16.05" customHeight="1" x14ac:dyDescent="0.25"/>
    <row r="105" spans="2:7" ht="16.05" customHeight="1" x14ac:dyDescent="0.25">
      <c r="B105" s="148" t="s">
        <v>3043</v>
      </c>
      <c r="C105" s="148"/>
      <c r="D105" s="148"/>
      <c r="E105" s="148"/>
      <c r="F105" s="148"/>
      <c r="G105" s="148"/>
    </row>
    <row r="106" spans="2:7" ht="16.05" customHeight="1" x14ac:dyDescent="0.25">
      <c r="B106" s="58" t="s">
        <v>3044</v>
      </c>
    </row>
    <row r="107" spans="2:7" ht="16.05" customHeight="1" x14ac:dyDescent="0.25">
      <c r="B107" s="60" t="s">
        <v>5</v>
      </c>
      <c r="C107" s="60" t="s">
        <v>6</v>
      </c>
      <c r="D107" s="60" t="s">
        <v>7</v>
      </c>
    </row>
    <row r="108" spans="2:7" ht="16.05" customHeight="1" x14ac:dyDescent="0.25">
      <c r="B108" s="62" t="s">
        <v>3045</v>
      </c>
      <c r="C108" s="62" t="s">
        <v>3046</v>
      </c>
      <c r="D108" s="62" t="s">
        <v>3047</v>
      </c>
    </row>
    <row r="109" spans="2:7" ht="16.05" customHeight="1" x14ac:dyDescent="0.25">
      <c r="B109" s="62" t="s">
        <v>768</v>
      </c>
      <c r="C109" s="62" t="s">
        <v>3048</v>
      </c>
      <c r="D109" s="62" t="s">
        <v>3049</v>
      </c>
    </row>
    <row r="110" spans="2:7" ht="16.05" customHeight="1" x14ac:dyDescent="0.25">
      <c r="B110" s="62" t="s">
        <v>3050</v>
      </c>
      <c r="C110" s="62" t="s">
        <v>896</v>
      </c>
      <c r="D110" s="62" t="s">
        <v>3051</v>
      </c>
    </row>
    <row r="111" spans="2:7" ht="16.05" customHeight="1" x14ac:dyDescent="0.25">
      <c r="B111" s="62" t="s">
        <v>3052</v>
      </c>
      <c r="C111" s="62" t="s">
        <v>896</v>
      </c>
      <c r="D111" s="62" t="s">
        <v>3053</v>
      </c>
    </row>
    <row r="112" spans="2:7" ht="16.05" customHeight="1" x14ac:dyDescent="0.25"/>
    <row r="113" spans="2:7" ht="16.05" customHeight="1" x14ac:dyDescent="0.25">
      <c r="B113" s="60" t="s">
        <v>3054</v>
      </c>
    </row>
    <row r="114" spans="2:7" ht="16.05" customHeight="1" x14ac:dyDescent="0.25">
      <c r="B114" s="62" t="s">
        <v>365</v>
      </c>
      <c r="C114" s="62" t="s">
        <v>3055</v>
      </c>
      <c r="D114" s="62" t="s">
        <v>3056</v>
      </c>
    </row>
    <row r="115" spans="2:7" ht="16.05" customHeight="1" x14ac:dyDescent="0.25">
      <c r="B115" s="62" t="s">
        <v>367</v>
      </c>
      <c r="C115" s="62" t="s">
        <v>3057</v>
      </c>
      <c r="D115" s="62" t="s">
        <v>3058</v>
      </c>
    </row>
    <row r="116" spans="2:7" ht="16.05" customHeight="1" x14ac:dyDescent="0.25">
      <c r="B116" s="62" t="s">
        <v>369</v>
      </c>
      <c r="C116" s="62" t="s">
        <v>3059</v>
      </c>
      <c r="D116" s="62" t="s">
        <v>3060</v>
      </c>
    </row>
    <row r="117" spans="2:7" ht="16.05" customHeight="1" x14ac:dyDescent="0.25"/>
    <row r="118" spans="2:7" ht="16.05" customHeight="1" x14ac:dyDescent="0.25">
      <c r="B118" s="58" t="s">
        <v>3061</v>
      </c>
    </row>
    <row r="119" spans="2:7" ht="16.05" customHeight="1" x14ac:dyDescent="0.25"/>
    <row r="120" spans="2:7" ht="16.05" customHeight="1" x14ac:dyDescent="0.25">
      <c r="B120" s="148" t="s">
        <v>3062</v>
      </c>
      <c r="C120" s="148"/>
      <c r="D120" s="148"/>
      <c r="E120" s="148"/>
      <c r="F120" s="148"/>
      <c r="G120" s="148"/>
    </row>
    <row r="121" spans="2:7" ht="16.05" customHeight="1" x14ac:dyDescent="0.25">
      <c r="B121" s="60" t="s">
        <v>2869</v>
      </c>
      <c r="C121" s="60" t="s">
        <v>3063</v>
      </c>
      <c r="D121" s="60" t="s">
        <v>3064</v>
      </c>
      <c r="E121" s="60" t="s">
        <v>3065</v>
      </c>
    </row>
    <row r="122" spans="2:7" ht="16.05" customHeight="1" x14ac:dyDescent="0.25">
      <c r="B122" s="62" t="s">
        <v>365</v>
      </c>
      <c r="C122" s="62" t="s">
        <v>3066</v>
      </c>
      <c r="D122" s="62" t="s">
        <v>3067</v>
      </c>
      <c r="E122" s="62" t="s">
        <v>3068</v>
      </c>
    </row>
    <row r="123" spans="2:7" ht="16.05" customHeight="1" x14ac:dyDescent="0.25">
      <c r="B123" s="62" t="s">
        <v>367</v>
      </c>
      <c r="C123" s="62" t="s">
        <v>3069</v>
      </c>
      <c r="D123" s="62" t="s">
        <v>3070</v>
      </c>
      <c r="E123" s="62" t="s">
        <v>3071</v>
      </c>
    </row>
    <row r="124" spans="2:7" ht="16.05" customHeight="1" x14ac:dyDescent="0.25">
      <c r="B124" s="62" t="s">
        <v>369</v>
      </c>
      <c r="C124" s="62" t="s">
        <v>3072</v>
      </c>
      <c r="D124" s="62" t="s">
        <v>3073</v>
      </c>
      <c r="E124" s="62" t="s">
        <v>3074</v>
      </c>
    </row>
    <row r="125" spans="2:7" ht="16.05" customHeight="1" x14ac:dyDescent="0.25">
      <c r="B125" s="62" t="s">
        <v>371</v>
      </c>
      <c r="C125" s="62" t="s">
        <v>3075</v>
      </c>
      <c r="D125" s="62" t="s">
        <v>3076</v>
      </c>
      <c r="E125" s="62" t="s">
        <v>3077</v>
      </c>
    </row>
    <row r="126" spans="2:7" ht="16.05" customHeight="1" x14ac:dyDescent="0.25">
      <c r="B126" s="62" t="s">
        <v>373</v>
      </c>
      <c r="C126" s="62" t="s">
        <v>3078</v>
      </c>
      <c r="D126" s="62" t="s">
        <v>3079</v>
      </c>
      <c r="E126" s="62" t="s">
        <v>3080</v>
      </c>
    </row>
    <row r="127" spans="2:7" ht="16.05" customHeight="1" x14ac:dyDescent="0.25">
      <c r="B127" s="62" t="s">
        <v>375</v>
      </c>
      <c r="C127" s="62" t="s">
        <v>3081</v>
      </c>
      <c r="D127" s="62" t="s">
        <v>3082</v>
      </c>
      <c r="E127" s="62" t="s">
        <v>3083</v>
      </c>
    </row>
  </sheetData>
  <mergeCells count="8">
    <mergeCell ref="B105:G105"/>
    <mergeCell ref="B120:G120"/>
    <mergeCell ref="B2:G2"/>
    <mergeCell ref="B8:G8"/>
    <mergeCell ref="B38:G38"/>
    <mergeCell ref="B50:G50"/>
    <mergeCell ref="B67:G67"/>
    <mergeCell ref="B96:G96"/>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E75B6"/>
    <pageSetUpPr fitToPage="1"/>
  </sheetPr>
  <dimension ref="B2:J69"/>
  <sheetViews>
    <sheetView showGridLines="0" zoomScale="90" zoomScaleNormal="90" workbookViewId="0"/>
  </sheetViews>
  <sheetFormatPr defaultColWidth="8.6640625" defaultRowHeight="13.8" x14ac:dyDescent="0.25"/>
  <cols>
    <col min="1" max="1" width="8.6640625" style="1"/>
    <col min="2" max="2" width="9" style="1" customWidth="1"/>
    <col min="3" max="3" width="54" style="1" customWidth="1"/>
    <col min="4" max="8" width="15" style="1" customWidth="1"/>
    <col min="9" max="9" width="17" style="1" customWidth="1"/>
    <col min="10" max="10" width="62" style="1" customWidth="1"/>
    <col min="11" max="16384" width="8.6640625" style="1"/>
  </cols>
  <sheetData>
    <row r="2" spans="2:5" ht="16.05" customHeight="1" x14ac:dyDescent="0.25">
      <c r="B2" s="56" t="s">
        <v>3084</v>
      </c>
    </row>
    <row r="3" spans="2:5" ht="16.05" customHeight="1" x14ac:dyDescent="0.25">
      <c r="B3" s="58" t="s">
        <v>3085</v>
      </c>
    </row>
    <row r="4" spans="2:5" ht="16.05" customHeight="1" x14ac:dyDescent="0.25">
      <c r="B4" s="58" t="s">
        <v>3086</v>
      </c>
    </row>
    <row r="5" spans="2:5" ht="16.05" customHeight="1" x14ac:dyDescent="0.25">
      <c r="B5" s="58" t="s">
        <v>3087</v>
      </c>
    </row>
    <row r="6" spans="2:5" ht="16.05" customHeight="1" x14ac:dyDescent="0.25"/>
    <row r="7" spans="2:5" ht="16.05" customHeight="1" x14ac:dyDescent="0.25">
      <c r="B7" s="29" t="s">
        <v>3088</v>
      </c>
    </row>
    <row r="8" spans="2:5" ht="16.05" customHeight="1" x14ac:dyDescent="0.25">
      <c r="B8" s="60" t="s">
        <v>3089</v>
      </c>
      <c r="C8" s="60" t="s">
        <v>3090</v>
      </c>
    </row>
    <row r="9" spans="2:5" ht="16.05" customHeight="1" x14ac:dyDescent="0.25">
      <c r="B9" s="62" t="s">
        <v>3091</v>
      </c>
      <c r="C9" s="62" t="s">
        <v>3092</v>
      </c>
    </row>
    <row r="10" spans="2:5" ht="16.05" customHeight="1" x14ac:dyDescent="0.25">
      <c r="B10" s="62" t="s">
        <v>3093</v>
      </c>
      <c r="C10" s="62" t="s">
        <v>3094</v>
      </c>
    </row>
    <row r="11" spans="2:5" ht="16.05" customHeight="1" x14ac:dyDescent="0.25">
      <c r="B11" s="62" t="s">
        <v>3095</v>
      </c>
      <c r="C11" s="62" t="s">
        <v>3096</v>
      </c>
    </row>
    <row r="12" spans="2:5" ht="16.05" customHeight="1" x14ac:dyDescent="0.25">
      <c r="B12" s="62" t="s">
        <v>3097</v>
      </c>
      <c r="C12" s="62" t="s">
        <v>3098</v>
      </c>
    </row>
    <row r="13" spans="2:5" ht="16.05" customHeight="1" x14ac:dyDescent="0.25"/>
    <row r="14" spans="2:5" ht="16.05" customHeight="1" x14ac:dyDescent="0.25">
      <c r="B14" s="29" t="s">
        <v>3099</v>
      </c>
    </row>
    <row r="15" spans="2:5" ht="16.05" customHeight="1" x14ac:dyDescent="0.25">
      <c r="B15" s="60" t="s">
        <v>4</v>
      </c>
      <c r="C15" s="60" t="s">
        <v>232</v>
      </c>
      <c r="D15" s="60" t="s">
        <v>3100</v>
      </c>
      <c r="E15" s="60" t="s">
        <v>7</v>
      </c>
    </row>
    <row r="16" spans="2:5" ht="16.05" customHeight="1" x14ac:dyDescent="0.25">
      <c r="B16" s="62" t="s">
        <v>884</v>
      </c>
      <c r="C16" s="62" t="s">
        <v>3101</v>
      </c>
      <c r="D16" s="130">
        <f>'1. Assumptions and Sources'!$D$190</f>
        <v>0.25</v>
      </c>
      <c r="E16" s="62" t="s">
        <v>3102</v>
      </c>
    </row>
    <row r="17" spans="2:10" ht="16.05" customHeight="1" x14ac:dyDescent="0.25">
      <c r="B17" s="62" t="s">
        <v>887</v>
      </c>
      <c r="C17" s="62" t="s">
        <v>3103</v>
      </c>
      <c r="D17" s="130">
        <f>'1. Assumptions and Sources'!$D$191</f>
        <v>0.3</v>
      </c>
      <c r="E17" s="62" t="s">
        <v>3104</v>
      </c>
    </row>
    <row r="18" spans="2:10" ht="16.05" customHeight="1" x14ac:dyDescent="0.25">
      <c r="B18" s="62" t="s">
        <v>890</v>
      </c>
      <c r="C18" s="62" t="s">
        <v>3105</v>
      </c>
      <c r="D18" s="130">
        <f>'1. Assumptions and Sources'!$D$192</f>
        <v>0.45</v>
      </c>
      <c r="E18" s="62" t="s">
        <v>3106</v>
      </c>
    </row>
    <row r="19" spans="2:10" ht="16.05" customHeight="1" x14ac:dyDescent="0.25"/>
    <row r="20" spans="2:10" ht="16.05" customHeight="1" x14ac:dyDescent="0.25">
      <c r="B20" s="29" t="s">
        <v>3107</v>
      </c>
    </row>
    <row r="21" spans="2:10" ht="16.05" customHeight="1" x14ac:dyDescent="0.25">
      <c r="B21" s="60" t="s">
        <v>4</v>
      </c>
      <c r="C21" s="60" t="s">
        <v>1389</v>
      </c>
      <c r="D21" s="60" t="s">
        <v>168</v>
      </c>
      <c r="E21" s="60" t="s">
        <v>171</v>
      </c>
      <c r="F21" s="60" t="s">
        <v>174</v>
      </c>
      <c r="G21" s="60" t="s">
        <v>177</v>
      </c>
      <c r="H21" s="60" t="s">
        <v>180</v>
      </c>
      <c r="I21" s="60" t="s">
        <v>3108</v>
      </c>
      <c r="J21" s="60" t="s">
        <v>3109</v>
      </c>
    </row>
    <row r="22" spans="2:10" ht="16.05" customHeight="1" x14ac:dyDescent="0.25">
      <c r="B22" s="62" t="s">
        <v>1717</v>
      </c>
      <c r="C22" s="62" t="s">
        <v>1394</v>
      </c>
      <c r="D22" s="82">
        <f>'3. Workings'!$E$13</f>
        <v>164584.43373866667</v>
      </c>
      <c r="E22" s="82">
        <f>D22*(1+'1. Assumptions and Sources'!$D$12)</f>
        <v>178903.27947393066</v>
      </c>
      <c r="F22" s="82">
        <f>E22*(1+'1. Assumptions and Sources'!$D$12)</f>
        <v>194467.86478816261</v>
      </c>
      <c r="G22" s="82">
        <f>F22*(1+'1. Assumptions and Sources'!$D$12)</f>
        <v>211386.56902473274</v>
      </c>
      <c r="H22" s="82">
        <f>G22*(1+'1. Assumptions and Sources'!$D$12)</f>
        <v>229777.20052988449</v>
      </c>
      <c r="I22" s="82">
        <f>SUM(D22:H22)</f>
        <v>979119.34755537729</v>
      </c>
    </row>
    <row r="23" spans="2:10" ht="16.05" customHeight="1" x14ac:dyDescent="0.25">
      <c r="B23" s="62" t="s">
        <v>1725</v>
      </c>
      <c r="C23" s="62" t="s">
        <v>3110</v>
      </c>
      <c r="D23" s="81">
        <f>('1. Assumptions and Sources'!$D$193/1000000*'1. Assumptions and Sources'!$D$169+'1. Assumptions and Sources'!$D$194/1000000*'1. Assumptions and Sources'!$D$170)*'1. Assumptions and Sources'!$D$14*(1+'1. Assumptions and Sources'!$D$179)*(1+'1. Assumptions and Sources'!$D$195)</f>
        <v>6.1115596476</v>
      </c>
      <c r="E23" s="81">
        <f>D23*(1+'1. Assumptions and Sources'!$D$18)</f>
        <v>4.27809175332</v>
      </c>
      <c r="F23" s="81">
        <f>E23*(1+'1. Assumptions and Sources'!$D$18)</f>
        <v>2.9946642273239998</v>
      </c>
      <c r="G23" s="81">
        <f>F23*(1+'1. Assumptions and Sources'!$D$18)</f>
        <v>2.0962649591267999</v>
      </c>
      <c r="H23" s="81">
        <f>G23*(1+'1. Assumptions and Sources'!$D$18)</f>
        <v>1.4673854713887597</v>
      </c>
    </row>
    <row r="24" spans="2:10" ht="16.05" customHeight="1" x14ac:dyDescent="0.25">
      <c r="B24" s="62" t="s">
        <v>1731</v>
      </c>
      <c r="C24" s="62" t="s">
        <v>3111</v>
      </c>
      <c r="D24" s="81">
        <f>D22*D23/10000000</f>
        <v>0.10058675838603312</v>
      </c>
      <c r="E24" s="81">
        <f>E22*E23/10000000</f>
        <v>7.6536464455932596E-2</v>
      </c>
      <c r="F24" s="81">
        <f>F22*F23/10000000</f>
        <v>5.8236595804519099E-2</v>
      </c>
      <c r="G24" s="81">
        <f>G22*G23/10000000</f>
        <v>4.4312225747658585E-2</v>
      </c>
      <c r="H24" s="81">
        <f>H22*H23/10000000</f>
        <v>3.3717172571393408E-2</v>
      </c>
      <c r="I24" s="81">
        <f>SUM(D24:H24)</f>
        <v>0.31338921696553679</v>
      </c>
      <c r="J24" s="81">
        <f>NPV('1. Assumptions and Sources'!$D$15,D24:H24)</f>
        <v>0.2395689149419363</v>
      </c>
    </row>
    <row r="25" spans="2:10" ht="16.05" customHeight="1" x14ac:dyDescent="0.25"/>
    <row r="26" spans="2:10" ht="16.05" customHeight="1" x14ac:dyDescent="0.25">
      <c r="B26" s="58" t="s">
        <v>3112</v>
      </c>
    </row>
    <row r="27" spans="2:10" ht="16.05" customHeight="1" x14ac:dyDescent="0.25"/>
    <row r="28" spans="2:10" ht="16.05" customHeight="1" x14ac:dyDescent="0.25">
      <c r="B28" s="29" t="s">
        <v>3113</v>
      </c>
    </row>
    <row r="29" spans="2:10" ht="16.05" customHeight="1" x14ac:dyDescent="0.25">
      <c r="B29" s="60" t="s">
        <v>4</v>
      </c>
      <c r="C29" s="60" t="s">
        <v>1389</v>
      </c>
      <c r="D29" s="60" t="s">
        <v>168</v>
      </c>
      <c r="E29" s="60" t="s">
        <v>171</v>
      </c>
      <c r="F29" s="60" t="s">
        <v>174</v>
      </c>
      <c r="G29" s="60" t="s">
        <v>177</v>
      </c>
      <c r="H29" s="60" t="s">
        <v>180</v>
      </c>
      <c r="I29" s="60" t="s">
        <v>3108</v>
      </c>
      <c r="J29" s="60" t="s">
        <v>3109</v>
      </c>
    </row>
    <row r="30" spans="2:10" ht="16.05" customHeight="1" x14ac:dyDescent="0.25">
      <c r="B30" s="62" t="s">
        <v>1738</v>
      </c>
      <c r="C30" s="62" t="s">
        <v>3114</v>
      </c>
      <c r="D30" s="81">
        <f>'1. Assumptions and Sources'!$D$78*'1. Assumptions and Sources'!$D$192*'1. Assumptions and Sources'!$D$79*'1. Assumptions and Sources'!$D$80</f>
        <v>0.17999955000000004</v>
      </c>
      <c r="J30" s="62" t="s">
        <v>3115</v>
      </c>
    </row>
    <row r="31" spans="2:10" ht="16.05" customHeight="1" x14ac:dyDescent="0.25">
      <c r="B31" s="62" t="s">
        <v>1744</v>
      </c>
      <c r="C31" s="62" t="s">
        <v>3116</v>
      </c>
      <c r="D31" s="81">
        <f>$D$30*'1. Assumptions and Sources'!$D$81*'1. Assumptions and Sources'!$D$14</f>
        <v>51.461871345000013</v>
      </c>
      <c r="E31" s="81">
        <f>D31*(1+'1. Assumptions and Sources'!$D$19)</f>
        <v>46.315684210500009</v>
      </c>
      <c r="F31" s="81">
        <f>E31*(1+'1. Assumptions and Sources'!$D$19)</f>
        <v>41.684115789450011</v>
      </c>
      <c r="G31" s="81">
        <f>F31*(1+'1. Assumptions and Sources'!$D$19)</f>
        <v>37.515704210505014</v>
      </c>
      <c r="H31" s="81">
        <f>G31*(1+'1. Assumptions and Sources'!$D$19)</f>
        <v>33.764133789454512</v>
      </c>
    </row>
    <row r="32" spans="2:10" ht="16.05" customHeight="1" x14ac:dyDescent="0.25">
      <c r="B32" s="62" t="s">
        <v>1748</v>
      </c>
      <c r="C32" s="62" t="s">
        <v>3117</v>
      </c>
      <c r="D32" s="81">
        <f>D22*D31/10000000</f>
        <v>0.84698229544489445</v>
      </c>
      <c r="E32" s="81">
        <f>E22*E31/10000000</f>
        <v>0.82860277963374007</v>
      </c>
      <c r="F32" s="81">
        <f>F22*F31/10000000</f>
        <v>0.81062209931568796</v>
      </c>
      <c r="G32" s="81">
        <f>G22*G31/10000000</f>
        <v>0.7930315997605375</v>
      </c>
      <c r="H32" s="81">
        <f>H22*H31/10000000</f>
        <v>0.77582281404573372</v>
      </c>
      <c r="I32" s="81">
        <f>SUM(D32:H32)</f>
        <v>4.0550615882005934</v>
      </c>
      <c r="J32" s="81">
        <f>NPV('1. Assumptions and Sources'!$D$15,D32:H32)</f>
        <v>2.9379846723040872</v>
      </c>
    </row>
    <row r="33" spans="2:5" ht="16.05" customHeight="1" x14ac:dyDescent="0.25"/>
    <row r="34" spans="2:5" ht="16.05" customHeight="1" x14ac:dyDescent="0.25">
      <c r="B34" s="58" t="s">
        <v>3118</v>
      </c>
    </row>
    <row r="35" spans="2:5" ht="16.05" customHeight="1" x14ac:dyDescent="0.25"/>
    <row r="36" spans="2:5" ht="16.05" customHeight="1" x14ac:dyDescent="0.25">
      <c r="B36" s="29" t="s">
        <v>3119</v>
      </c>
    </row>
    <row r="37" spans="2:5" ht="16.05" customHeight="1" x14ac:dyDescent="0.25">
      <c r="B37" s="60" t="s">
        <v>4</v>
      </c>
      <c r="C37" s="60" t="s">
        <v>22</v>
      </c>
      <c r="D37" s="60" t="s">
        <v>6</v>
      </c>
      <c r="E37" s="60" t="s">
        <v>26</v>
      </c>
    </row>
    <row r="38" spans="2:5" ht="16.05" customHeight="1" x14ac:dyDescent="0.25">
      <c r="B38" s="62" t="s">
        <v>1752</v>
      </c>
      <c r="C38" s="62" t="s">
        <v>3120</v>
      </c>
      <c r="D38" s="81">
        <f>J24</f>
        <v>0.2395689149419363</v>
      </c>
      <c r="E38" s="62" t="s">
        <v>3121</v>
      </c>
    </row>
    <row r="39" spans="2:5" ht="16.05" customHeight="1" x14ac:dyDescent="0.25">
      <c r="B39" s="62" t="s">
        <v>1758</v>
      </c>
      <c r="C39" s="62" t="s">
        <v>3122</v>
      </c>
      <c r="D39" s="81">
        <f>J32</f>
        <v>2.9379846723040872</v>
      </c>
      <c r="E39" s="62" t="s">
        <v>3123</v>
      </c>
    </row>
    <row r="40" spans="2:5" ht="16.05" customHeight="1" x14ac:dyDescent="0.25">
      <c r="B40" s="62" t="s">
        <v>1764</v>
      </c>
      <c r="C40" s="62" t="s">
        <v>3124</v>
      </c>
      <c r="D40" s="81">
        <f>D39-D38</f>
        <v>2.698415757362151</v>
      </c>
      <c r="E40" s="62" t="s">
        <v>3125</v>
      </c>
    </row>
    <row r="41" spans="2:5" ht="16.05" customHeight="1" x14ac:dyDescent="0.25">
      <c r="B41" s="62" t="s">
        <v>1769</v>
      </c>
      <c r="C41" s="62" t="s">
        <v>3126</v>
      </c>
      <c r="D41" s="81">
        <f>-D40</f>
        <v>-2.698415757362151</v>
      </c>
      <c r="E41" s="62" t="s">
        <v>3127</v>
      </c>
    </row>
    <row r="42" spans="2:5" ht="16.05" customHeight="1" x14ac:dyDescent="0.25"/>
    <row r="43" spans="2:5" ht="16.05" customHeight="1" x14ac:dyDescent="0.25">
      <c r="B43" s="62" t="s">
        <v>1774</v>
      </c>
      <c r="C43" s="62" t="s">
        <v>3128</v>
      </c>
      <c r="D43" s="81">
        <f>$D$30*3600</f>
        <v>647.99838000000011</v>
      </c>
      <c r="E43" s="62" t="s">
        <v>3129</v>
      </c>
    </row>
    <row r="44" spans="2:5" ht="16.05" customHeight="1" x14ac:dyDescent="0.25">
      <c r="B44" s="62" t="s">
        <v>1781</v>
      </c>
      <c r="C44" s="62" t="s">
        <v>3130</v>
      </c>
      <c r="D44" s="81">
        <f>D23/('1. Assumptions and Sources'!$D$81*'1. Assumptions and Sources'!$D$14)*3600</f>
        <v>76.955630400000004</v>
      </c>
      <c r="E44" s="62" t="s">
        <v>3131</v>
      </c>
    </row>
    <row r="45" spans="2:5" ht="16.05" customHeight="1" x14ac:dyDescent="0.25">
      <c r="B45" s="62" t="s">
        <v>1786</v>
      </c>
      <c r="C45" s="62" t="s">
        <v>3132</v>
      </c>
      <c r="D45" s="81">
        <f>D43/D44</f>
        <v>8.4204154605950716</v>
      </c>
      <c r="E45" s="62" t="s">
        <v>3133</v>
      </c>
    </row>
    <row r="46" spans="2:5" ht="16.05" customHeight="1" x14ac:dyDescent="0.25"/>
    <row r="47" spans="2:5" ht="16.05" customHeight="1" x14ac:dyDescent="0.25">
      <c r="B47" s="58" t="s">
        <v>3134</v>
      </c>
    </row>
    <row r="48" spans="2:5" ht="16.05" customHeight="1" x14ac:dyDescent="0.25">
      <c r="B48" s="58" t="s">
        <v>3135</v>
      </c>
    </row>
    <row r="49" spans="2:5" ht="16.05" customHeight="1" x14ac:dyDescent="0.25"/>
    <row r="50" spans="2:5" ht="16.05" customHeight="1" x14ac:dyDescent="0.25">
      <c r="B50" s="29" t="s">
        <v>3136</v>
      </c>
    </row>
    <row r="51" spans="2:5" ht="16.05" customHeight="1" x14ac:dyDescent="0.25">
      <c r="B51" s="60" t="s">
        <v>2869</v>
      </c>
      <c r="C51" s="60" t="s">
        <v>3137</v>
      </c>
      <c r="D51" s="60" t="s">
        <v>3138</v>
      </c>
    </row>
    <row r="52" spans="2:5" ht="16.05" customHeight="1" x14ac:dyDescent="0.25">
      <c r="B52" s="62" t="s">
        <v>365</v>
      </c>
      <c r="C52" s="62" t="s">
        <v>3139</v>
      </c>
      <c r="D52" s="62" t="s">
        <v>3140</v>
      </c>
    </row>
    <row r="53" spans="2:5" ht="16.05" customHeight="1" x14ac:dyDescent="0.25">
      <c r="B53" s="62" t="s">
        <v>367</v>
      </c>
      <c r="C53" s="62" t="s">
        <v>3141</v>
      </c>
      <c r="D53" s="62" t="s">
        <v>3142</v>
      </c>
    </row>
    <row r="54" spans="2:5" ht="16.05" customHeight="1" x14ac:dyDescent="0.25">
      <c r="B54" s="62" t="s">
        <v>369</v>
      </c>
      <c r="C54" s="62" t="s">
        <v>3143</v>
      </c>
      <c r="D54" s="62" t="s">
        <v>3144</v>
      </c>
    </row>
    <row r="55" spans="2:5" ht="16.05" customHeight="1" x14ac:dyDescent="0.25">
      <c r="B55" s="62" t="s">
        <v>371</v>
      </c>
      <c r="C55" s="62" t="s">
        <v>3145</v>
      </c>
      <c r="D55" s="62" t="s">
        <v>3146</v>
      </c>
    </row>
    <row r="56" spans="2:5" ht="16.05" customHeight="1" x14ac:dyDescent="0.25">
      <c r="B56" s="62" t="s">
        <v>373</v>
      </c>
      <c r="C56" s="62" t="s">
        <v>3147</v>
      </c>
      <c r="D56" s="62" t="s">
        <v>3148</v>
      </c>
    </row>
    <row r="57" spans="2:5" ht="16.05" customHeight="1" x14ac:dyDescent="0.25">
      <c r="B57" s="62" t="s">
        <v>375</v>
      </c>
      <c r="C57" s="62" t="s">
        <v>3149</v>
      </c>
      <c r="D57" s="62" t="s">
        <v>3150</v>
      </c>
    </row>
    <row r="58" spans="2:5" ht="16.05" customHeight="1" x14ac:dyDescent="0.25"/>
    <row r="59" spans="2:5" ht="16.05" customHeight="1" x14ac:dyDescent="0.25">
      <c r="B59" s="58" t="s">
        <v>3151</v>
      </c>
    </row>
    <row r="60" spans="2:5" ht="16.05" customHeight="1" x14ac:dyDescent="0.25"/>
    <row r="61" spans="2:5" ht="16.05" customHeight="1" x14ac:dyDescent="0.25">
      <c r="B61" s="29" t="s">
        <v>3152</v>
      </c>
    </row>
    <row r="62" spans="2:5" ht="16.05" customHeight="1" x14ac:dyDescent="0.25">
      <c r="B62" s="60" t="s">
        <v>4</v>
      </c>
      <c r="C62" s="60" t="s">
        <v>1389</v>
      </c>
      <c r="D62" s="60" t="s">
        <v>6</v>
      </c>
      <c r="E62" s="60" t="s">
        <v>26</v>
      </c>
    </row>
    <row r="63" spans="2:5" ht="16.05" customHeight="1" x14ac:dyDescent="0.25">
      <c r="B63" s="62" t="s">
        <v>1792</v>
      </c>
      <c r="C63" s="62" t="s">
        <v>3153</v>
      </c>
      <c r="D63" s="81">
        <f>('1. Assumptions and Sources'!$D$193/1000000*'1. Assumptions and Sources'!$D$208+'1. Assumptions and Sources'!$D$194/1000000*'1. Assumptions and Sources'!$D$209)*'1. Assumptions and Sources'!$D$14*(1+'1. Assumptions and Sources'!$D$179)*(1+'1. Assumptions and Sources'!$D$195)</f>
        <v>7.2069227266666669</v>
      </c>
      <c r="E63" s="62" t="s">
        <v>3154</v>
      </c>
    </row>
    <row r="64" spans="2:5" ht="16.05" customHeight="1" x14ac:dyDescent="0.25">
      <c r="B64" s="62" t="s">
        <v>1798</v>
      </c>
      <c r="C64" s="62" t="s">
        <v>3155</v>
      </c>
      <c r="D64" s="131">
        <f>D22*D63/10000000</f>
        <v>0.1186147295966761</v>
      </c>
      <c r="E64" s="62" t="s">
        <v>3156</v>
      </c>
    </row>
    <row r="65" spans="2:5" ht="16.05" customHeight="1" x14ac:dyDescent="0.25">
      <c r="B65" s="62" t="s">
        <v>1802</v>
      </c>
      <c r="C65" s="62" t="s">
        <v>3157</v>
      </c>
      <c r="D65" s="132">
        <f>D64/D24-1</f>
        <v>0.17922807633838844</v>
      </c>
      <c r="E65" s="62" t="s">
        <v>3158</v>
      </c>
    </row>
    <row r="66" spans="2:5" ht="16.05" customHeight="1" x14ac:dyDescent="0.25">
      <c r="B66" s="62" t="s">
        <v>1807</v>
      </c>
      <c r="C66" s="62" t="s">
        <v>3159</v>
      </c>
      <c r="D66" s="81" t="str">
        <f>IF(D64&lt;D32,"YES","NO")</f>
        <v>YES</v>
      </c>
      <c r="E66" s="62" t="s">
        <v>3160</v>
      </c>
    </row>
    <row r="67" spans="2:5" ht="16.05" customHeight="1" x14ac:dyDescent="0.25">
      <c r="B67" s="62" t="s">
        <v>1812</v>
      </c>
      <c r="C67" s="62" t="s">
        <v>3161</v>
      </c>
      <c r="D67" s="133">
        <f>D32/D64</f>
        <v>7.1406165012125875</v>
      </c>
      <c r="E67" s="62" t="s">
        <v>3162</v>
      </c>
    </row>
    <row r="68" spans="2:5" ht="16.05" customHeight="1" x14ac:dyDescent="0.25"/>
    <row r="69" spans="2:5" ht="16.05" customHeight="1" x14ac:dyDescent="0.25">
      <c r="B69" s="58" t="s">
        <v>3163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 Investment Committee</vt:lpstr>
      <vt:lpstr>Navigation</vt:lpstr>
      <vt:lpstr>Dashboard</vt:lpstr>
      <vt:lpstr>1. Assumptions and Sources</vt:lpstr>
      <vt:lpstr>2. Summary</vt:lpstr>
      <vt:lpstr>3. Workings</vt:lpstr>
      <vt:lpstr>4. Forecast</vt:lpstr>
      <vt:lpstr>5. Investor Metrics</vt:lpstr>
      <vt:lpstr>6. Stakeholder Analysis</vt:lpstr>
      <vt:lpstr>7. Trend Analysis</vt:lpstr>
      <vt:lpstr>8. Scenario Simulation</vt:lpstr>
      <vt:lpstr>9. Landscape Impact</vt:lpstr>
      <vt:lpstr>10. Resilience and Breakpoints</vt:lpstr>
      <vt:lpstr>11. Strategy and Early Warning</vt:lpstr>
      <vt:lpstr>12. Cost Architecture</vt:lpstr>
      <vt:lpstr>13. GenAI Build vs Buy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PRATYUSH MATHUR - 80672500059</cp:lastModifiedBy>
  <cp:revision>7</cp:revision>
  <dcterms:created xsi:type="dcterms:W3CDTF">2026-08-08T12:57:09Z</dcterms:created>
  <dcterms:modified xsi:type="dcterms:W3CDTF">2026-08-16T16:53:21Z</dcterms:modified>
  <dc:language>en-US</dc:language>
</cp:coreProperties>
</file>